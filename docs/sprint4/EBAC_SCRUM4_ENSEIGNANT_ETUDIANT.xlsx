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2" autoFilterDateGrouping="true" firstSheet="9" minimized="false" showHorizontalScroll="true" showSheetTabs="true" showVerticalScroll="true" tabRatio="500" visibility="visible"/>
  </bookViews>
  <sheets>
    <sheet name="Epics" sheetId="1" r:id="rId4"/>
    <sheet name="Product Backlog" sheetId="2" r:id="rId5"/>
    <sheet name="Objectif Sprints" sheetId="3" r:id="rId6"/>
    <sheet name="Sprint Backlog du sprint 0" sheetId="4" r:id="rId7"/>
    <sheet name="Sprint Backlog  API du sprint 0" sheetId="5" r:id="rId8"/>
    <sheet name="Sprint Backlog du sprint 1" sheetId="6" r:id="rId9"/>
    <sheet name="Sprint Backlog API du sprint 1" sheetId="7" r:id="rId10"/>
    <sheet name="Sprint Backlog du sprint 2" sheetId="8" r:id="rId11"/>
    <sheet name="Sprint Backlog API du sprint 2" sheetId="9" r:id="rId12"/>
    <sheet name="Sprint Backlog du sprint 3" sheetId="10" r:id="rId13"/>
    <sheet name="Sprint Backlog API du sprint 3" sheetId="11" r:id="rId14"/>
    <sheet name="US Enseignant Etudiant" sheetId="12" r:id="rId15"/>
    <sheet name="Cadrage Sprint 4" sheetId="13" r:id="rId16"/>
    <sheet name="Selection Sprint 4" sheetId="14" r:id="rId17"/>
    <sheet name="Sprint 4 Frontend" sheetId="15" r:id="rId18"/>
    <sheet name="Sprint 4 API" sheetId="16" r:id="rId19"/>
    <sheet name="Decisions et dependances" sheetId="17" r:id="rId20"/>
    <sheet name="Recette Sprint 4" sheetId="18" r:id="rId21"/>
  </sheets>
  <definedNames>
    <definedName name="_xlnm._FilterDatabase" localSheetId="0" hidden="1">'Epics'!$A$5:$J$26</definedName>
    <definedName name="_xlnm._FilterDatabase" localSheetId="1" hidden="1">'Product Backlog'!$A$5:$N$76</definedName>
    <definedName name="_xlnm._FilterDatabase" localSheetId="11" hidden="1">'US Enseignant Etudiant'!$A$4:$M$32</definedName>
    <definedName name="_xlnm.Print_Titles" localSheetId="11">'US Enseignant Etudiant'!$1:$4</definedName>
    <definedName name="_xlnm._FilterDatabase" localSheetId="12" hidden="1">'Cadrage Sprint 4'!$A$4:$C$19</definedName>
    <definedName name="_xlnm.Print_Titles" localSheetId="12">'Cadrage Sprint 4'!$1:$4</definedName>
    <definedName name="_xlnm._FilterDatabase" localSheetId="13" hidden="1">'Selection Sprint 4'!$A$4:$H$15</definedName>
    <definedName name="_xlnm.Print_Titles" localSheetId="13">'Selection Sprint 4'!$1:$4</definedName>
    <definedName name="_xlnm._FilterDatabase" localSheetId="14" hidden="1">'Sprint 4 Frontend'!$A$4:$K$17</definedName>
    <definedName name="_xlnm.Print_Titles" localSheetId="14">'Sprint 4 Frontend'!$1:$4</definedName>
    <definedName name="_xlnm._FilterDatabase" localSheetId="15" hidden="1">'Sprint 4 API'!$A$4:$K$17</definedName>
    <definedName name="_xlnm.Print_Titles" localSheetId="15">'Sprint 4 API'!$1:$4</definedName>
    <definedName name="_xlnm._FilterDatabase" localSheetId="16" hidden="1">'Decisions et dependances'!$A$4:$E$12</definedName>
    <definedName name="_xlnm.Print_Titles" localSheetId="16">'Decisions et dependances'!$1:$4</definedName>
    <definedName name="_xlnm._FilterDatabase" localSheetId="17" hidden="1">'Recette Sprint 4'!$A$4:$E$13</definedName>
    <definedName name="_xlnm.Print_Titles" localSheetId="17">'Recette Sprint 4'!$1:$4</definedName>
  </definedNames>
  <calcPr calcId="999999" calcMode="auto" calcCompleted="0" fullCalcOnLoad="1" forceFullCalc="1"/>
</workbook>
</file>

<file path=xl/sharedStrings.xml><?xml version="1.0" encoding="utf-8"?>
<sst xmlns="http://schemas.openxmlformats.org/spreadsheetml/2006/main" uniqueCount="1082">
  <si>
    <t>Epics du Product Backlog</t>
  </si>
  <si>
    <t>Niveau stratégique — regroupement des User Stories par grand besoin métier</t>
  </si>
  <si>
    <t>Code</t>
  </si>
  <si>
    <t>Epic</t>
  </si>
  <si>
    <t>Module du CDC v2.4</t>
  </si>
  <si>
    <t>Description</t>
  </si>
  <si>
    <t>Valeur métier attendue</t>
  </si>
  <si>
    <t>Priorité MoSCoW</t>
  </si>
  <si>
    <t>Ordre</t>
  </si>
  <si>
    <t>Statut d'affinage</t>
  </si>
  <si>
    <t>Nb US affinées</t>
  </si>
  <si>
    <t>Story points</t>
  </si>
  <si>
    <t>EP-01</t>
  </si>
  <si>
    <t>Socle technique, comptes et sécurité d'accès</t>
  </si>
  <si>
    <t>Module 12 — Sécurité &amp; Administration</t>
  </si>
  <si>
    <t>Fournir la fondation technique et le contrôle d'accès indispensables à toute fonctionnalité : authentification forte, gestion des comptes et des rôles, journal d'audit immuable, sauvegardes.</t>
  </si>
  <si>
    <t>Aucune fonctionnalité métier ne peut être livrée ni recettée sans socle d'authentification et de droits. Epic bloquant pour l'ensemble du projet.</t>
  </si>
  <si>
    <t>Must have</t>
  </si>
  <si>
    <t>Affiné — Module 1</t>
  </si>
  <si>
    <t>EP-02</t>
  </si>
  <si>
    <t>Paramétrage du programme académique A1–A4</t>
  </si>
  <si>
    <t>Module 1 — Gestion académique</t>
  </si>
  <si>
    <t>Permettre à l'EBAC de décrire son programme officiel : Matières, Modules, Cours, coefficients, volumes horaires 15 h théorie / 15 h pratique, Matière Stage A3, Matière Soutenance A4 et évaluations de fin de cycle.</t>
  </si>
  <si>
    <t>Le programme est le référentiel dont dépendent les notes, les bulletins et le diplôme. Sans lui, aucun dossier étudiant n'est exploitable.</t>
  </si>
  <si>
    <t>EP-03</t>
  </si>
  <si>
    <t>Calendrier académique et référentiels</t>
  </si>
  <si>
    <t>Définir l'année académique, les périodes d'évaluation et de rattrapage, les salles et les promotions.</t>
  </si>
  <si>
    <t>Socle de données commun à tous les modules du SIG ; garantit un calendrier unique et fiable.</t>
  </si>
  <si>
    <t>EP-04</t>
  </si>
  <si>
    <t>Églises partenaires et recommandation</t>
  </si>
  <si>
    <t>Gérer le référentiel des Églises, leur compte partagé cloisonné et le rattachement obligatoire de chaque étudiant à son Église recommandatrice.</t>
  </si>
  <si>
    <t>Règle EBAC : aucun étudiant n'intègre l'école sans recommandation. Le profil Église joue un rôle essentiel dans le suivi de l'étudiant.</t>
  </si>
  <si>
    <t>EP-05</t>
  </si>
  <si>
    <t>Pré-inscription numérique et paiement en ligne</t>
  </si>
  <si>
    <t>Dématérialiser la constitution du dossier avant la rentrée : invitation par lien sécurisé, formulaire en ligne, dépôt de pièces, paiement Mobile Money, suivi de campagne.</t>
  </si>
  <si>
    <t>Décision de la Note de cadrage complémentaire n° 01 : premier gain visible de la transition numérique, attendu pour la rentrée de septembre 2026.</t>
  </si>
  <si>
    <t>EP-06</t>
  </si>
  <si>
    <t>Dossier étudiant et inscription définitive</t>
  </si>
  <si>
    <t>Valider l'inscription à l'arrivée, générer le matricule, ouvrir le compte portail, initialiser les matières et les cours à faire, gérer le cycle de vie du dossier.</t>
  </si>
  <si>
    <t>Cœur du Module 1 : le dossier étudiant alimente tous les autres modules du SIG.</t>
  </si>
  <si>
    <t>EP-07</t>
  </si>
  <si>
    <t>Promotions et avancement annuel</t>
  </si>
  <si>
    <t>Gérer les promotions et l'opération collective et irréversible de passage de niveau, avec conservation des cours à faire.</t>
  </si>
  <si>
    <t>Règle fondamentale EBAC : tous les étudiants avancent chaque année, sans redoublement ni maintien de niveau.</t>
  </si>
  <si>
    <t>EP-08</t>
  </si>
  <si>
    <t>Progression vers le diplôme et rattrapages</t>
  </si>
  <si>
    <t>Suivre le taux de matières validées, planifier les rattrapages inter-annuels, délivrer diplômes et attestations de formation partielle.</t>
  </si>
  <si>
    <t>Le diplôme se construit par accumulation de validations : c'est le principe directeur du système EBAC.</t>
  </si>
  <si>
    <t>EP-09</t>
  </si>
  <si>
    <t>Portails et tableaux de bord du Module 1</t>
  </si>
  <si>
    <t>Modules 8, 9 et 11 — Portails &amp; Reporting</t>
  </si>
  <si>
    <t>Ouvrir aux étudiants, aux Églises, à la Direction, au Gestionnaire et au Secrétariat les vues de consultation et de pilotage alimentées par le Module 1.</t>
  </si>
  <si>
    <t>Rend la valeur du Module 1 visible pour le client et les utilisateurs finaux ; condition de l'adhésion au projet.</t>
  </si>
  <si>
    <t>EP-10</t>
  </si>
  <si>
    <t>Notes, évaluations et bulletins</t>
  </si>
  <si>
    <t>Module 2 — Notes &amp; Bulletins</t>
  </si>
  <si>
    <t>Saisie conditionnée par la présence, calcul de la note de matière sur les seuls cours suivis, workflow de validation, génération et publication des bulletins, corrections tracées.</t>
  </si>
  <si>
    <t>Module critique : les notes engagent la responsabilité académique de l'EBAC.</t>
  </si>
  <si>
    <t>À affiner — Phase 2</t>
  </si>
  <si>
    <t>EP-11</t>
  </si>
  <si>
    <t>Suivi pédagogique et journal de cours</t>
  </si>
  <si>
    <t>Module 3 — Suivi pédagogique</t>
  </si>
  <si>
    <t>Planification des enseignements, journal de cours numérique, liste de présence, taux de réalisation, alertes pédagogiques, bibliothèque de supports.</t>
  </si>
  <si>
    <t>Élément différenciateur du système : source officielle des données de présence qui conditionnent les notes.</t>
  </si>
  <si>
    <t>EP-12</t>
  </si>
  <si>
    <t>Gestion des stages — Matière Stage A3</t>
  </si>
  <si>
    <t>Module 4 — Stages</t>
  </si>
  <si>
    <t>Affectation en Église, journal hebdomadaire, validation par le représentant d'Église, grille d'évaluation, validation Direction.</t>
  </si>
  <si>
    <t>La Matière Stage est obligatoire pour le diplôme ; elle mobilise pleinement le profil Église.</t>
  </si>
  <si>
    <t>Should have</t>
  </si>
  <si>
    <t>EP-13</t>
  </si>
  <si>
    <t>Gestion des soutenances — Matière Soutenance A4</t>
  </si>
  <si>
    <t>Module 5 — Soutenances</t>
  </si>
  <si>
    <t>Planification des sessions, composition du jury, saisie des résultats, validation officielle.</t>
  </si>
  <si>
    <t>La Matière Soutenance conditionne la délivrance du diplôme de fin de cycle.</t>
  </si>
  <si>
    <t>EP-14</t>
  </si>
  <si>
    <t>Gestion financière</t>
  </si>
  <si>
    <t>Module 6 — Finances</t>
  </si>
  <si>
    <t>Paramétrage des frais, encaissements, reçus, relances automatiques, tableau de bord financier, écritures correctives tracées.</t>
  </si>
  <si>
    <t>Responsabilité transférée au profil Gestionnaire par le Document de cadrage. Module critique pour la trésorerie de l'EBAC.</t>
  </si>
  <si>
    <t>EP-15</t>
  </si>
  <si>
    <t>Gestion du personnel (RH)</t>
  </si>
  <si>
    <t>Module 7 — RH</t>
  </si>
  <si>
    <t>Dossiers du personnel, affectations pédagogiques, historique des mouvements.</t>
  </si>
  <si>
    <t>Fonctionnalités RH intégrées au profil Direction, conformément au Document de cadrage.</t>
  </si>
  <si>
    <t>À affiner — Phase 3</t>
  </si>
  <si>
    <t>EP-16</t>
  </si>
  <si>
    <t>Archivage et cycle de vie des données</t>
  </si>
  <si>
    <t>Module 10 — Archivage</t>
  </si>
  <si>
    <t>Statuts de l'étudiant, gestion du départ, politique d'archivage et de conservation, émission de documents d'archive.</t>
  </si>
  <si>
    <t>Garantit la pérennité des données et la capacité à délivrer des attestations sans limite de délai.</t>
  </si>
  <si>
    <t>EP-17</t>
  </si>
  <si>
    <t>Reporting et tableaux de bord avancés</t>
  </si>
  <si>
    <t>Module 11 — Reporting</t>
  </si>
  <si>
    <t>Tableaux de bord par profil, rapports paramétrables, exports normalisés, KPI de l'annexe B du CDC.</t>
  </si>
  <si>
    <t>Dote la Direction d'un pilotage fondé sur des indicateurs fiables.</t>
  </si>
  <si>
    <t>EP-18</t>
  </si>
  <si>
    <t>Administration système avancée</t>
  </si>
  <si>
    <t>Gestion fine des droits, restauration de sauvegarde, supervision technique, paramètres avancés.</t>
  </si>
  <si>
    <t>Complète le socle EP-01 pour l'autonomie d'exploitation de l'EBAC.</t>
  </si>
  <si>
    <t>Could have</t>
  </si>
  <si>
    <t>EP-19</t>
  </si>
  <si>
    <t>Qualité, sécurité et recette</t>
  </si>
  <si>
    <t>Transverse</t>
  </si>
  <si>
    <t>Tests de pénétration, couverture de tests ≥ 80 % sur les fonctions critiques, campagne UAT par profil, correction des anomalies.</t>
  </si>
  <si>
    <t>Conditions de réception définitive fixées au chapitre 19 du CDC v2.4.</t>
  </si>
  <si>
    <t>EP-20</t>
  </si>
  <si>
    <t>Documentation et formation</t>
  </si>
  <si>
    <t>Documentation technique (OpenAPI 3.0, modèle de données), documentation utilisateur par profil, supports et sessions de formation.</t>
  </si>
  <si>
    <t>Livrables contractuels du chapitre 21 du CDC ; la documentation fait partie de la DoD SOUMAFÊ.</t>
  </si>
  <si>
    <t>EP-21</t>
  </si>
  <si>
    <t>Déploiement et mise en production</t>
  </si>
  <si>
    <t>Environnements, scripts de déploiement et de restauration, bascule en production, plan de reprise des données existantes.</t>
  </si>
  <si>
    <t>Conditionne la mise à disposition réelle du système aux utilisateurs de l'EBAC.</t>
  </si>
  <si>
    <t>TOTAL</t>
  </si>
  <si>
    <t>Product Backlog — Module 1 : Gestion académique</t>
  </si>
  <si>
    <t>Liste ordonnée et vivante. Propriété du Product Owner. Les tâches techniques n'y figurent pas : elles sont créées au Sprint Planning (Manuel SOUMAFÊ §07).</t>
  </si>
  <si>
    <t>ID</t>
  </si>
  <si>
    <t>Module du CDC</t>
  </si>
  <si>
    <t>Profil / Acteur</t>
  </si>
  <si>
    <t>Catégorie</t>
  </si>
  <si>
    <t>User Story (En tant que… Je veux… Afin de…)</t>
  </si>
  <si>
    <t>Critères d'acceptation (format Gherkin)</t>
  </si>
  <si>
    <t>Sprint cible</t>
  </si>
  <si>
    <t>Release</t>
  </si>
  <si>
    <t>Affectation</t>
  </si>
  <si>
    <t>DoR</t>
  </si>
  <si>
    <t>Statut</t>
  </si>
  <si>
    <t>US-001</t>
  </si>
  <si>
    <t>Administrateur</t>
  </si>
  <si>
    <t>Authentification</t>
  </si>
  <si>
    <t>En tant qu'Administrateur, je veux me connecter avec un mot de passe et un code de vérification (2FA), afin de sécuriser l'accès à un compte à privilèges élevés.</t>
  </si>
  <si>
    <t>GIVEN un administrateur enregistré WHEN il saisit des identifiants valides THEN un code OTP à 6 chiffres lui est envoyé et l'accès n'est ouvert qu'après saisie correcte du code.
GIVEN un compte administrateur WHEN 5 tentatives échouent consécutivement THEN le compte est bloqué automatiquement et l'événement est journalisé.
GIVEN un code OTP émis WHEN plus de 10 minutes se sont écoulées THEN le code est refusé et un nouveau code doit être demandé.</t>
  </si>
  <si>
    <t>Sprint 1</t>
  </si>
  <si>
    <t>R1</t>
  </si>
  <si>
    <t>Back + Front</t>
  </si>
  <si>
    <t>Oui</t>
  </si>
  <si>
    <t>À faire</t>
  </si>
  <si>
    <t>US-002</t>
  </si>
  <si>
    <t>Comptes &amp; droits</t>
  </si>
  <si>
    <t>En tant qu'Administrateur, je veux créer un compte utilisateur en lui attribuant un rôle, afin de donner à chaque personne l'accès strictement adapté à sa fonction.</t>
  </si>
  <si>
    <t>GIVEN le formulaire de création de compte WHEN l'administrateur saisit un e-mail déjà utilisé THEN la création est refusée avec un message explicite.
GIVEN un compte créé WHEN l'enregistrement est validé THEN un mot de passe temporaire est généré, transmis par e-mail, et son changement est imposé à la première connexion.
GIVEN la liste des rôles WHEN l'administrateur choisit un rôle THEN seuls les 7 profils officiels EBAC sont proposés.</t>
  </si>
  <si>
    <t>US-003</t>
  </si>
  <si>
    <t>En tant qu'Administrateur, je veux suspendre, bloquer, réactiver ou désactiver un compte, afin de réagir immédiatement à un incident de sécurité ou à un départ.</t>
  </si>
  <si>
    <t>GIVEN un compte actif WHEN l'administrateur le bloque THEN les sessions ouvertes de cet utilisateur sont invalidées dans la minute.
GIVEN un compte suspendu WHEN l'utilisateur tente de se connecter THEN l'accès est refusé avec un message l'invitant à contacter l'administration.
GIVEN tout changement de statut WHEN il est enregistré THEN l'auteur, la date et le motif sont horodatés dans l'historique du compte.</t>
  </si>
  <si>
    <t>US-004</t>
  </si>
  <si>
    <t>En tant qu'Administrateur, je veux activer ou désactiver individuellement chaque permission d'un rôle, afin d'ajuster finement les droits selon le principe du moindre privilège.</t>
  </si>
  <si>
    <t>GIVEN la matrice rôle × permission WHEN l'administrateur modifie une case THEN l'effet est immédiat pour tous les utilisateurs porteurs de ce rôle.
GIVEN un utilisateur connecté WHEN une de ses permissions est retirée THEN l'écran concerné devient inaccessible sans nécessiter de déconnexion complète.
GIVEN toute modification de la matrice WHEN elle est enregistrée THEN elle est tracée dans le journal d'audit.</t>
  </si>
  <si>
    <t>Sprint 11</t>
  </si>
  <si>
    <t>R5</t>
  </si>
  <si>
    <t>US-005</t>
  </si>
  <si>
    <t>Journal d'audit</t>
  </si>
  <si>
    <t>En tant qu'Administrateur, je veux consulter un journal d'audit listant toutes les actions sensibles, afin de garantir la traçabilité complète du système.</t>
  </si>
  <si>
    <t>GIVEN le journal d'audit WHEN un administrateur tente de modifier ou de supprimer une entrée THEN l'action est impossible (journal immuable).
GIVEN le journal WHEN l'administrateur filtre par utilisateur, type d'action ou plage de dates THEN seules les entrées correspondantes sont affichées.
GIVEN une action sensible (connexion, changement de droits, validation de notes, opération financière) WHEN elle est exécutée THEN une entrée est créée avec auteur, date, adresse IP et objet concerné.</t>
  </si>
  <si>
    <t>Sprint 10</t>
  </si>
  <si>
    <t>R4</t>
  </si>
  <si>
    <t>US-006</t>
  </si>
  <si>
    <t>En tant qu'Administrateur, je veux exporter le journal d'audit au format CSV, afin de le transmettre dans le cadre d'un contrôle externe.</t>
  </si>
  <si>
    <t>GIVEN un filtre appliqué WHEN l'administrateur lance l'export THEN le fichier généré contient exactement les lignes affichées.
GIVEN un export réalisé WHEN le fichier est produit THEN son nom porte un horodatage et l'export lui-même est journalisé.</t>
  </si>
  <si>
    <t>Back</t>
  </si>
  <si>
    <t>US-007</t>
  </si>
  <si>
    <t>Tous profils</t>
  </si>
  <si>
    <t>En tant qu'utilisateur du système, je veux réinitialiser mon mot de passe de façon autonome, afin de retrouver l'accès sans solliciter l'administration.</t>
  </si>
  <si>
    <t>GIVEN un e-mail enregistré WHEN l'utilisateur demande une réinitialisation THEN un lien à usage unique valable 30 minutes lui est envoyé.
GIVEN un lien de réinitialisation WHEN il a déjà été utilisé ou est expiré THEN il est refusé.
GIVEN un nouveau mot de passe WHEN il ne respecte pas la politique de complexité THEN il est rejeté avec l'indication des règles non satisfaites.</t>
  </si>
  <si>
    <t>US-008</t>
  </si>
  <si>
    <t>Sécurité</t>
  </si>
  <si>
    <t>En tant qu'Administrateur, je veux paramétrer la politique de mots de passe et la durée des sessions, afin d'adapter le niveau de sécurité aux exigences de l'EBAC.</t>
  </si>
  <si>
    <t>GIVEN les paramètres de sécurité WHEN l'administrateur modifie la longueur minimale ou la durée d'inactivité THEN la nouvelle règle s'applique dès la connexion suivante.
GIVEN une session inactive WHEN la durée paramétrée est dépassée THEN l'utilisateur est déconnecté automatiquement.</t>
  </si>
  <si>
    <t>US-009</t>
  </si>
  <si>
    <t>En tant qu'Administrateur, je veux consulter l'historique des actions réalisées sur un compte, afin de comprendre son évolution en cas de litige.</t>
  </si>
  <si>
    <t>GIVEN un compte utilisateur WHEN l'administrateur ouvre son historique THEN les événements sont affichés par ordre chronologique décroissant et en lecture seule.
GIVEN cet historique WHEN il est affiché THEN il précise pour chaque événement l'auteur, la date et la nature du changement.</t>
  </si>
  <si>
    <t>US-010</t>
  </si>
  <si>
    <t>Paramètres système</t>
  </si>
  <si>
    <t>En tant qu'Administrateur, je veux modifier les paramètres globaux du système, afin d'adapter son comportement sans intervention du prestataire.</t>
  </si>
  <si>
    <t>GIVEN un paramètre global WHEN il est modifié THEN la valeur précédente, l'auteur et la date sont conservés.
GIVEN un paramètre critique WHEN il est modifié THEN une confirmation explicite est demandée.</t>
  </si>
  <si>
    <t>Sprint 12</t>
  </si>
  <si>
    <t>US-011</t>
  </si>
  <si>
    <t>Sauvegardes</t>
  </si>
  <si>
    <t>En tant qu'Administrateur, je veux consulter l'état des sauvegardes automatiques, afin de m'assurer que les données de l'école sont protégées.</t>
  </si>
  <si>
    <t>GIVEN la page Sauvegardes WHEN elle est ouverte THEN la liste affiche pour chaque sauvegarde la date, la taille et le statut (Réussie / Échouée).
GIVEN une sauvegarde en échec WHEN elle est détectée THEN une alerte est remontée à l'administrateur.</t>
  </si>
  <si>
    <t>US-012</t>
  </si>
  <si>
    <t>En tant qu'Administrateur, je veux déclencher une sauvegarde manuelle, afin de sécuriser les données avant une opération sensible.</t>
  </si>
  <si>
    <t>GIVEN la page Sauvegardes WHEN l'administrateur déclenche une sauvegarde THEN son avancement est affiché en temps réel.
GIVEN une sauvegarde manuelle terminée WHEN elle réussit THEN elle apparaît dans la liste avec la mention « Manuelle » et le nom de l'auteur.</t>
  </si>
  <si>
    <t>US-013</t>
  </si>
  <si>
    <t>Programme</t>
  </si>
  <si>
    <t>En tant qu'Administrateur, je veux créer, modifier et archiver des Matières, afin de tenir à jour la structure académique officielle de l'EBAC.</t>
  </si>
  <si>
    <t>GIVEN le formulaire matière WHEN l'administrateur enregistre THEN l'intitulé officiel, le code matière unique (format MAT-[SIGLE]-[NIVEAU]) et le coefficient sont obligatoires.
GIVEN une matière rattachée à des cours déjà dispensés WHEN l'administrateur tente de la supprimer THEN la suppression est refusée et l'archivage est proposé à la place.
GIVEN une matière archivée WHEN elle est consultée THEN elle reste visible en lecture seule dans les dossiers étudiants historiques.</t>
  </si>
  <si>
    <t>Sprint 5</t>
  </si>
  <si>
    <t>R3</t>
  </si>
  <si>
    <t>US-014</t>
  </si>
  <si>
    <t>En tant qu'Administrateur, je veux organiser chaque matière en Modules et chaque Module en Cours, afin de refléter la hiérarchie pédagogique réelle de l'EBAC.</t>
  </si>
  <si>
    <t>GIVEN une matière WHEN elle est créée THEN elle doit comporter au minimum un Module avant de pouvoir être publiée.
GIVEN un Module WHEN des cours y sont ajoutés THEN chaque cours porte un numéro d'ordre unique définissant la séquence d'enseignement.
GIVEN la structure Matière &gt; Module &gt; Cours WHEN l'administrateur réordonne les cours THEN la nouvelle séquence est enregistrée sans perte de données.
GIVEN le bulletin WHEN il est généré THEN seuls les intitulés de matières apparaissent, jamais les modules ni les cours.</t>
  </si>
  <si>
    <t>US-015</t>
  </si>
  <si>
    <t>En tant qu'Administrateur, je veux définir le coefficient et le niveau (A1 à A4) de chaque matière, afin que les moyennes et les bulletins soient calculés correctement.</t>
  </si>
  <si>
    <t>GIVEN une matière WHEN le niveau est renseigné THEN les seules valeurs acceptées sont A1, A2, A3 et A4.
GIVEN une matière WHEN le coefficient est saisi THEN seule une valeur numérique supérieure ou égale à 1 est acceptée.
GIVEN une matière de niveau A3 WHEN elle est créée THEN le système propose par défaut le type « Matière Stage », conformément à l'organisation de l'EBAC.</t>
  </si>
  <si>
    <t>US-016</t>
  </si>
  <si>
    <t>En tant qu'Administrateur, je veux saisir pour chaque matière un volume horaire de 30 heures réparti en 15 h de cours théoriques et 15 h de travaux pratiques, afin de respecter l'organisation pédagogique validée par le Directeur Académique.</t>
  </si>
  <si>
    <t>GIVEN une matière WHEN les volumes horaires sont saisis THEN la somme théorie + pratique doit égaler le volume total déclaré, faute de quoi l'enregistrement est refusé.
GIVEN une nouvella matière WHEN elle est créée THEN les valeurs 15 h / 15 h sont proposées par défaut et restent modifiables.
GIVEN la fiche matière WHEN elle est affichée THEN la répartition théorie / pratique est visible distinctement.</t>
  </si>
  <si>
    <t>US-017</t>
  </si>
  <si>
    <t>En tant qu'Administrateur, je veux désigner l'enseignant responsable de chaque matière, afin d'établir clairement la responsabilité pédagogique.</t>
  </si>
  <si>
    <t>GIVEN le champ « enseignant responsable » WHEN il est renseigné THEN la sélection se fait uniquement parmi le personnel enseignant actif.
GIVEN un enseignant marqué en départ WHEN il est responsable d'une matière THEN une alerte invite à le remplacer.</t>
  </si>
  <si>
    <t>US-018</t>
  </si>
  <si>
    <t>En tant qu'Administrateur, je veux que toute modification du programme génère une nouvelle version tracée, afin de garantir l'auditabilité du référentiel académique.</t>
  </si>
  <si>
    <t>GIVEN une matière publiée WHEN l'un de ses attributs est modifié THEN une nouvelle version est créée avec date, auteur et valeur précédente.
GIVEN l'historique des versions WHEN il est consulté THEN chaque version est comparable à la précédente.
GIVEN une version antérieure WHEN un bulletin s'y rattache THEN cette version ne peut plus être supprimée.</t>
  </si>
  <si>
    <t>Sprint 6</t>
  </si>
  <si>
    <t>US-019</t>
  </si>
  <si>
    <t>En tant qu'Administrateur, je veux publier ou masquer une version du programme, afin de contrôler ce que les étudiants et les enseignants voient.</t>
  </si>
  <si>
    <t>GIVEN une version en préparation WHEN elle n'est pas publiée THEN elle est invisible des profils Étudiant, Enseignant et Église.
GIVEN une version WHEN elle est publiée THEN la date de publication et l'auteur sont enregistrés et une notification est envoyée aux profils concernés.</t>
  </si>
  <si>
    <t>US-020</t>
  </si>
  <si>
    <t>En tant qu'Administrateur, je veux importer le programme académique 2026-2027 transmis par l'EBAC, afin d'initialiser rapidement le référentiel sans double saisie.</t>
  </si>
  <si>
    <t>GIVEN un fichier conforme au modèle d'import fourni WHEN il est chargé THEN le système affiche un rapport de contrôle listant les lignes valides et les lignes en erreur avant tout enregistrement.
GIVEN un rapport comportant des erreurs WHEN l'utilisateur confirme THEN seules les lignes valides sont importées et les erreurs restent téléchargeables.
GIVEN un import réalisé WHEN il est terminé THEN il est tracé dans le journal d'audit avec le nombre de matières, de modules et de cours créés.</t>
  </si>
  <si>
    <t>US-021</t>
  </si>
  <si>
    <t>En tant qu'Administrateur, je veux paramétrer la Matière Stage (A3) et la Matière Soutenance (A4) comme des unités validables, afin qu'elles soient prises en compte dans la délivrance du diplôme.</t>
  </si>
  <si>
    <t>GIVEN le référentiel des matières WHEN une matière de type Stage ou Soutenance est créée THEN elle porte un coefficient et un mode de validation spécifique (validation par la Direction, sans saisie de notes par cours).
GIVEN un étudiant WHEN sa Matière Stage ou sa Matière Soutenance n'est pas validée THEN son taux de complétion ne peut atteindre 100 %.</t>
  </si>
  <si>
    <t>US-022</t>
  </si>
  <si>
    <t>En tant qu'Administrateur, je veux paramétrer les quatre évaluations de fin de cycle du niveau A4 (rapport de stage, prédication de fin de cycle, dissertation de fin de cycle, entretien avec le jury), afin qu'elles alimentent la fiche de notes annexée au bulletin de fin de cycle.</t>
  </si>
  <si>
    <t>GIVEN le paramétrage du niveau A4 WHEN il est ouvert THEN les quatre évaluations sont présentes, chacune avec son coefficient propre.
GIVEN un étudiant de A4 WHEN l'une des quatre évaluations n'est pas saisie THEN la fiche de notes de fin de cycle ne peut pas être éditée.
GIVEN la fiche de notes de fin de cycle WHEN elle est générée THEN elle présente les quatre évaluations distinctement du relevé des matières.</t>
  </si>
  <si>
    <t>Sprint 7</t>
  </si>
  <si>
    <t>US-023</t>
  </si>
  <si>
    <t>En tant qu'Administrateur, je veux paramétrer les seuils de validation et le barème des mentions, afin que les règles d'évaluation restent maîtrisées par l'EBAC.</t>
  </si>
  <si>
    <t>GIVEN les paramètres d'évaluation WHEN un seuil est modifié THEN la modification n'affecte pas les bulletins déjà validés.
GIVEN des plages de mentions WHEN elles se chevauchent THEN l'enregistrement est refusé.</t>
  </si>
  <si>
    <t>US-024</t>
  </si>
  <si>
    <t>Calendrier</t>
  </si>
  <si>
    <t>En tant qu'Administrateur, je veux définir l'année académique et ses dates clés, afin que tous les modules du SIG s'appuient sur un calendrier unique et fiable.</t>
  </si>
  <si>
    <t>GIVEN une année académique WHEN les dates sont saisies THEN la date de fin doit être postérieure à la date de début.
GIVEN une année académique WHEN une autre année est déjà ouverte THEN le chevauchement est signalé et l'enregistrement bloqué.
GIVEN une année académique WHEN elle est marquée « En cours » THEN elle devient le contexte par défaut de tous les écrans.</t>
  </si>
  <si>
    <t>US-025</t>
  </si>
  <si>
    <t>En tant qu'Administrateur, je veux déclarer les périodes d'évaluation, d'examens, de rattrapage et les jours fériés, afin de fiabiliser la planification des enseignements.</t>
  </si>
  <si>
    <t>GIVEN le calendrier de l'année WHEN une période est ajoutée THEN son type est obligatoire (Enseignement / Évaluation / Examen / Rattrapage / Férié).
GIVEN deux périodes de même type WHEN elles se chevauchent THEN un avertissement est affiché.</t>
  </si>
  <si>
    <t>US-026</t>
  </si>
  <si>
    <t>Référentiels</t>
  </si>
  <si>
    <t>En tant qu'Administrateur, je veux gérer le référentiel des salles, afin de disposer d'une base fiable pour la planification des enseignements.</t>
  </si>
  <si>
    <t>GIVEN une salle WHEN elle est créée THEN son code est unique et sa capacité obligatoire.
GIVEN une salle utilisée dans un créneau WHEN sa suppression est demandée THEN elle est désactivée et non supprimée.</t>
  </si>
  <si>
    <t>US-027</t>
  </si>
  <si>
    <t>Secrétariat</t>
  </si>
  <si>
    <t>Promotions</t>
  </si>
  <si>
    <t>En tant que Secrétariat, je veux créer une promotion au format PROMO-[ANNÉE], afin de regrouper la cohorte d'étudiants qui intègre l'EBAC la même année.</t>
  </si>
  <si>
    <t>GIVEN une nouvelle promotion WHEN elle est créée THEN son code respecte le format PROMO-AAAA, est unique et non modifiable.
GIVEN une promotion WHEN elle est consultée THEN ses effectifs (total, actifs, en rattrapage, diplômés, départs) sont calculés automatiquement.</t>
  </si>
  <si>
    <t>US-028</t>
  </si>
  <si>
    <t>Exports</t>
  </si>
  <si>
    <t>En tant qu'Administrateur, je veux exporter les référentiels (comptes, programme, salles) au format CSV, afin de les archiver ou de les partager.</t>
  </si>
  <si>
    <t>GIVEN un référentiel affiché WHEN l'export est lancé THEN le fichier reflète exactement les filtres appliqués.
GIVEN un fichier exporté WHEN il est produit THEN son nom comporte l'objet et un horodatage.</t>
  </si>
  <si>
    <t>US-029</t>
  </si>
  <si>
    <t>Églises</t>
  </si>
  <si>
    <t>En tant que Secrétariat, je veux créer et tenir à jour la fiche d'une Église partenaire, afin de disposer du référentiel des structures de recommandation.</t>
  </si>
  <si>
    <t>GIVEN une Église WHEN elle est enregistrée THEN sa dénomination, son appartenance (CMA / Partenaire) et un contact référent sont obligatoires.
GIVEN une Église WHEN sa dénomination existe déjà THEN un contrôle de doublon avertit l'utilisateur avant enregistrement.
GIVEN une Église rattachée à des étudiants WHEN sa suppression est demandée THEN elle est désactivée et non supprimée.</t>
  </si>
  <si>
    <t>Sprint 2</t>
  </si>
  <si>
    <t>US-030</t>
  </si>
  <si>
    <t>En tant qu'Administrateur, je veux créer un compte partagé unique pour chaque Église partenaire, afin de lui ouvrir l'accès au portail Église.</t>
  </si>
  <si>
    <t>GIVEN une Église WHEN un compte lui est créé THEN il est unique par Église et rattaché au profil Église.
GIVEN un compte Église WHEN il se connecte THEN il n'accède qu'aux données des étudiants recommandés par son Église, ce cloisonnement étant assuré au niveau de la base de données.
GIVEN une tentative d'accès à un étudiant non recommandé WHEN elle se produit THEN elle est bloquée et journalisée.</t>
  </si>
  <si>
    <t>Sprint 4</t>
  </si>
  <si>
    <t>R2</t>
  </si>
  <si>
    <t>US-031</t>
  </si>
  <si>
    <t>Église</t>
  </si>
  <si>
    <t>En tant que représentant d'Église, je veux gérer les représentants autorisés sur le compte partagé de mon Église, afin de contrôler qui peut s'y connecter.</t>
  </si>
  <si>
    <t>GIVEN le compte Église WHEN un représentant est ajouté THEN son nom, sa fonction et son contact sont obligatoires.
GIVEN un représentant retiré WHEN le retrait est enregistré THEN son accès est immédiatement révoqué et l'opération tracée.</t>
  </si>
  <si>
    <t>US-032</t>
  </si>
  <si>
    <t>En tant que Secrétariat, je veux rattacher obligatoirement chaque étudiant à son Église recommandatrice, afin de respecter la règle EBAC selon laquelle aucun étudiant n'intègre l'école sans recommandation.</t>
  </si>
  <si>
    <t>GIVEN un dossier étudiant WHEN l'Église recommandatrice n'est pas renseignée THEN l'enregistrement est refusé.
GIVEN un étudiant WHEN son Église est renseignée THEN il apparaît immédiatement dans la liste des étudiants recommandés de cette Église.
GIVEN un étudiant WHEN son Église est modifiée THEN l'ancien et le nouveau rattachement sont historisés.</t>
  </si>
  <si>
    <t>US-033</t>
  </si>
  <si>
    <t>Suivi</t>
  </si>
  <si>
    <t>En tant que représentant d'Église, je veux consulter la liste des étudiants que mon Église recommande, afin de suivre leur engagement en formation.</t>
  </si>
  <si>
    <t>GIVEN un compte Église WHEN la liste est ouverte THEN seuls les étudiants recommandés par cette Église sont affichés.
GIVEN cette liste WHEN elle est affichée THEN elle présente le matricule, le nom, le niveau et le statut, à l'exclusion de toute donnée financière.</t>
  </si>
  <si>
    <t>US-034</t>
  </si>
  <si>
    <t>Pré-inscription</t>
  </si>
  <si>
    <t>En tant que Secrétariat, je veux enregistrer la liste des étudiants admissibles identifiés par l'EBAC, afin de préparer la campagne de pré-inscription.</t>
  </si>
  <si>
    <t>GIVEN la campagne de pré-inscription WHEN un admissible est ajouté THEN son nom, son contact et son Église de recommandation sont obligatoires.
GIVEN un fichier d'admissibles WHEN il est importé THEN un rapport de contrôle est présenté avant enregistrement.
GIVEN un admissible WHEN il est enregistré THEN son statut initial est « À inviter ».</t>
  </si>
  <si>
    <t>US-035</t>
  </si>
  <si>
    <t>En tant que Secrétariat, je veux générer et envoyer à chaque admissible un lien sécurisé de pré-inscription, afin de dématérialiser la constitution de son dossier.</t>
  </si>
  <si>
    <t>GIVEN un admissible WHEN l'invitation est envoyée THEN un lien nominatif à usage unique lui est transmis par e-mail et par SMS.
GIVEN un lien de pré-inscription WHEN sa durée de validité paramétrable est dépassée THEN il est refusé et une relance peut être générée.
GIVEN un lien déjà utilisé pour soumettre un dossier WHEN il est rouvert THEN seul le suivi du dossier est accessible, sans nouvelle soumission.</t>
  </si>
  <si>
    <t>US-036</t>
  </si>
  <si>
    <t>Candidat</t>
  </si>
  <si>
    <t>En tant que candidat invité, je veux renseigner mon formulaire de pré-inscription en ligne, afin de constituer mon dossier numérique avant la rentrée.</t>
  </si>
  <si>
    <t>GIVEN le formulaire WHEN un champ obligatoire est vide THEN la soumission est refusée avec l'indication précise des champs manquants.
GIVEN un formulaire partiellement rempli WHEN le candidat quitte la page THEN sa saisie est conservée et il peut la reprendre via son lien.
GIVEN un formulaire soumis WHEN la soumission aboutit THEN le candidat reçoit un accusé de réception et le statut passe à « Pré-inscrit ».
GIVEN la pré-inscription WHEN elle est soumise THEN le système indique explicitement au candidat qu'elle ne constitue pas une sélection.</t>
  </si>
  <si>
    <t>US-037</t>
  </si>
  <si>
    <t>En tant que candidat invité, je veux déposer mes pièces justificatives en ligne, afin d'éviter les allers-retours administratifs à mon arrivée.</t>
  </si>
  <si>
    <t>GIVEN le dépôt de pièces WHEN un fichier dépasse 5 Mo ou n'est pas au format PDF / JPG / PNG THEN il est refusé avec un message explicite.
GIVEN la photo d'identité WHEN elle est déposée THEN un recadrage portrait est proposé.
GIVEN la liste des pièces attendues WHEN une pièce obligatoire manque THEN le dossier reste au statut « Incomplet ».</t>
  </si>
  <si>
    <t>US-038</t>
  </si>
  <si>
    <t>Paiement</t>
  </si>
  <si>
    <t>En tant que candidat invité, je veux payer les frais autorisés par Mobile Money depuis la plateforme, afin de finaliser ma pré-inscription à distance.</t>
  </si>
  <si>
    <t>GIVEN l'écran de paiement WHEN le candidat choisit un opérateur Mobile Money THEN le montant dû et les frais éventuels sont affichés avant confirmation.
GIVEN un paiement confirmé par l'opérateur WHEN la notification est reçue THEN le paiement porte une référence unique et son statut passe à « Validé ».
GIVEN un paiement échoué ou abandonné WHEN il est enregistré THEN son statut est « Rejeté » ou « En attente » et le candidat peut relancer l'opération sans double débit.
GIVEN un paiement enregistré WHEN il existe THEN il ne peut jamais être supprimé : toute correction se fait par écriture corrective tracée.</t>
  </si>
  <si>
    <t>US-039</t>
  </si>
  <si>
    <t>En tant que candidat invité, je veux recevoir un reçu numérique et un accusé de pré-inscription, afin de disposer d'une preuve opposable de ma démarche.</t>
  </si>
  <si>
    <t>GIVEN un paiement validé WHEN il est enregistré THEN un reçu PDF numéroté est généré et téléchargeable.
GIVEN un dossier complet WHEN il est soumis THEN un accusé de pré-inscription PDF est généré avec un numéro de dossier.</t>
  </si>
  <si>
    <t>US-040</t>
  </si>
  <si>
    <t>En tant que Secrétariat, je veux suivre l'avancement des pré-inscriptions sur un tableau de suivi, afin de piloter la campagne avant la rentrée.</t>
  </si>
  <si>
    <t>GIVEN le tableau de suivi WHEN il est ouvert THEN il présente les effectifs par statut (À inviter, Invité, En cours, Pré-inscrit, Incomplet, Validé).
GIVEN le tableau WHEN un filtre par Église ou par date est appliqué THEN les compteurs se recalculent.
GIVEN un dossier WHEN il est sélectionné THEN le détail des pièces et du paiement est consultable.</t>
  </si>
  <si>
    <t>US-041</t>
  </si>
  <si>
    <t>En tant que Secrétariat, je veux relancer automatiquement les candidats dont le dossier est incomplet, afin de sécuriser le remplissage avant la rentrée.</t>
  </si>
  <si>
    <t>GIVEN un dossier incomplet WHEN le délai paramétré est atteint THEN une relance est envoyée par e-mail et par SMS.
GIVEN les relances WHEN elles sont envoyées THEN leur historique est consultable par dossier.</t>
  </si>
  <si>
    <t>US-042</t>
  </si>
  <si>
    <t>Gestionnaire</t>
  </si>
  <si>
    <t>En tant que Gestionnaire, je veux rapprocher les encaissements Mobile Money des dossiers de pré-inscription, afin de garantir la fiabilité comptable des recettes.</t>
  </si>
  <si>
    <t>GIVEN la liste des transactions WHEN un rapprochement est lancé THEN les écarts entre les transactions de l'opérateur et les paiements enregistrés sont listés.
GIVEN un écart WHEN il est traité THEN le motif et l'auteur sont enregistrés de façon non effaçable.</t>
  </si>
  <si>
    <t>US-043</t>
  </si>
  <si>
    <t>Dossier étudiant</t>
  </si>
  <si>
    <t>En tant que Secrétariat, je veux valider l'inscription définitive d'un étudiant à son arrivée à l'EBAC, afin de transformer sa pré-inscription en inscription officielle.</t>
  </si>
  <si>
    <t>GIVEN un dossier pré-inscrit complet WHEN le secrétariat valide l'inscription THEN le statut passe à « Inscrit » et l'opération est horodatée avec son auteur.
GIVEN un dossier incomplet WHEN la validation est tentée THEN elle est refusée avec la liste des éléments manquants.
GIVEN une inscription validée WHEN elle est enregistrée THEN l'étudiant est affecté à une promotion et à un niveau de départ.</t>
  </si>
  <si>
    <t>Sprint 3</t>
  </si>
  <si>
    <t>US-044</t>
  </si>
  <si>
    <t>Système</t>
  </si>
  <si>
    <t>En tant que Secrétariat, je veux que le système génère automatiquement le matricule de l'étudiant au format EBAC-[ANNÉE]-[SÉQUENCE], afin de garantir un identifiant unique et non modifiable.</t>
  </si>
  <si>
    <t>GIVEN une inscription validée WHEN le matricule est généré THEN il respecte le format EBAC-AAAA-NNNN et est unique.
GIVEN un matricule attribué WHEN une modification est tentée THEN elle est impossible, y compris pour l'administrateur.
GIVEN deux inscriptions simultanées WHEN les matricules sont générés THEN aucune collision de séquence ne se produit.</t>
  </si>
  <si>
    <t>US-045</t>
  </si>
  <si>
    <t>En tant que Secrétariat, je veux être alerté en cas de doublon potentiel, afin d'éviter la création de dossiers en double.</t>
  </si>
  <si>
    <t>GIVEN un nouveau dossier WHEN le triplet nom + prénoms + date de naissance existe déjà THEN un avertissement bloquant est affiché avec le dossier existant.
GIVEN un doublon avéré WHEN il est confirmé THEN la création est annulée et le dossier existant est ouvert.</t>
  </si>
  <si>
    <t>US-046</t>
  </si>
  <si>
    <t>En tant que Secrétariat, je veux consulter et modifier le dossier d'un étudiant, afin de tenir ses informations à jour tout au long de sa scolarité.</t>
  </si>
  <si>
    <t>GIVEN un dossier étudiant WHEN une donnée est modifiée THEN l'ancienne valeur, l'auteur et la date sont conservés.
GIVEN un champ obligatoire WHEN il est vidé THEN l'enregistrement est refusé.
GIVEN un dossier WHEN il est ouvert THEN il présente l'identité, l'Église recommandatrice, les pièces, la promotion et le niveau.</t>
  </si>
  <si>
    <t>US-047</t>
  </si>
  <si>
    <t>En tant que Secrétariat, je veux que le compte portail de l'étudiant soit créé automatiquement à la validation de son inscription, afin qu'il reçoive ses accès dès la rentrée.</t>
  </si>
  <si>
    <t>GIVEN une inscription validée WHEN elle est enregistrée THEN un compte de profil Étudiant est créé et les identifiants sont transmis par e-mail.
GIVEN une première connexion WHEN elle a lieu THEN le changement de mot de passe est imposé.
GIVEN un étudiant sans e-mail exploitable WHEN le compte est créé THEN le secrétariat peut imprimer un identifiant à remettre en main propre.</t>
  </si>
  <si>
    <t>US-048</t>
  </si>
  <si>
    <t>En tant que Secrétariat, je veux que le système initialise automatiquement les matières et les cours du niveau de l'étudiant au statut « cours à faire », afin que son parcours soit suivi dès le premier jour.</t>
  </si>
  <si>
    <t>GIVEN une inscription validée WHEN elle est enregistrée THEN toutes les matières publiées du niveau sont rattachées au dossier de l'étudiant.
GIVEN ces matières WHEN elles sont initialisées THEN tous leurs cours portent le statut « Cours à faire ».
GIVEN un programme non publié pour le niveau WHEN l'initialisation est tentée THEN une alerte invite à publier le programme.</t>
  </si>
  <si>
    <t>US-049</t>
  </si>
  <si>
    <t>En tant que Secrétariat, je veux rechercher et filtrer les étudiants, afin de retrouver rapidement un dossier parmi l'ensemble des promotions.</t>
  </si>
  <si>
    <t>GIVEN la liste des étudiants WHEN une recherche par matricule, nom ou téléphone est lancée THEN les résultats s'affichent en moins de 2 secondes.
GIVEN des filtres promotion, niveau, statut et Église WHEN ils sont combinés THEN la liste et les compteurs se mettent à jour.</t>
  </si>
  <si>
    <t>US-050</t>
  </si>
  <si>
    <t>Cycle de vie</t>
  </si>
  <si>
    <t>En tant que Secrétariat, je veux enregistrer un départ de formation, afin de clôturer proprement le dossier d'un étudiant qui quitte l'EBAC.</t>
  </si>
  <si>
    <t>GIVEN un étudiant en formation WHEN un départ est enregistré THEN le motif et la date sont obligatoires et le dossier passe au statut « Départ de la formation ».
GIVEN un départ enregistré WHEN il est effectif THEN l'étudiant est retiré des effectifs actifs de sa promotion, mais ses matières validées sont conservées définitivement.
GIVEN un dossier clôturé WHEN une attestation est demandée THEN elle reste disponible sans limite de délai.</t>
  </si>
  <si>
    <t>Sprint 9</t>
  </si>
  <si>
    <t>US-051</t>
  </si>
  <si>
    <t>En tant que Secrétariat, je veux exporter la liste des étudiants d'une promotion, afin de produire les listes administratives de la rentrée.</t>
  </si>
  <si>
    <t>GIVEN une promotion sélectionnée WHEN l'export est lancé THEN le fichier contient matricule, identité, Église, niveau et statut.
GIVEN les filtres appliqués WHEN l'export est généré THEN il reflète exactement la liste affichée.</t>
  </si>
  <si>
    <t>US-052</t>
  </si>
  <si>
    <t>En tant que Secrétariat, je veux consulter la fiche d'une promotion et ses effectifs, afin de disposer d'une vue consolidée de la cohorte.</t>
  </si>
  <si>
    <t>GIVEN une promotion WHEN sa fiche est ouverte THEN les effectifs total, actifs, en rattrapage, diplômés et départs sont affichés et calculés automatiquement.
GIVEN la fiche WHEN un effectif est cliqué THEN la liste nominative correspondante s'affiche.</t>
  </si>
  <si>
    <t>US-053</t>
  </si>
  <si>
    <t>Avancement</t>
  </si>
  <si>
    <t>En tant que Secrétariat, je veux déclencher le passage de niveau annuel d'une promotion, afin que tous les étudiants avancent ensemble conformément à la règle EBAC.</t>
  </si>
  <si>
    <t>GIVEN une promotion WHEN le passage de niveau est déclenché THEN tous les étudiants actifs passent au niveau suivant, sans exception ni redoublement.
GIVEN le passage WHEN il est confirmé THEN l'action est irréversible et exige une confirmation explicite.
GIVEN des cours au statut « Cours à faire » WHEN le passage a lieu THEN ils sont conservés dans le dossier individuel de l'étudiant.
GIVEN un étudiant en « Départ de la formation » WHEN le passage a lieu THEN il est exclu de l'opération.</t>
  </si>
  <si>
    <t>US-054</t>
  </si>
  <si>
    <t>En tant que Secrétariat, je veux que le système contrôle les prérequis avant tout passage de niveau, afin d'éviter un avancement fondé sur des données incomplètes.</t>
  </si>
  <si>
    <t>GIVEN un passage de niveau demandé WHEN des notes de l'année ne sont pas validées THEN une alerte bloquante liste les matières concernées.
GIVEN tous les contrôles satisfaits WHEN le passage est autorisé THEN le bouton de confirmation devient actif.</t>
  </si>
  <si>
    <t>US-055</t>
  </si>
  <si>
    <t>En tant que Secrétariat, je veux consulter un rapport d'état avant le passage de niveau, afin de mesurer la situation de chaque étudiant avant une action irréversible.</t>
  </si>
  <si>
    <t>GIVEN un passage de niveau en préparation WHEN le rapport est généré THEN il indique pour chaque étudiant les matières validées, partielles et non commencées.
GIVEN ce rapport WHEN il est généré THEN il est exportable et archivé avec l'opération de passage.</t>
  </si>
  <si>
    <t>US-056</t>
  </si>
  <si>
    <t>Rattrapage</t>
  </si>
  <si>
    <t>En tant que Secrétariat, je veux que le système génère le plan de rattrapage consolidé après le passage de niveau, afin de planifier les cours restant à faire.</t>
  </si>
  <si>
    <t>GIVEN un passage de niveau réalisé WHEN le plan est généré THEN il liste les cours à faire par étudiant, par matière et par niveau.
GIVEN le plan WHEN il est consulté THEN chaque ligne porte un statut : Non planifié / Inscrit en rattrapage / Rattrapage effectué.
GIVEN le plan WHEN il est produit THEN il est exportable pour organisation avec les enseignants.</t>
  </si>
  <si>
    <t>Sprint 8</t>
  </si>
  <si>
    <t>US-057</t>
  </si>
  <si>
    <t>Direction</t>
  </si>
  <si>
    <t>En tant que Direction, je veux consulter l'historique des passages de niveau, afin de disposer d'une traçabilité des décisions académiques collectives.</t>
  </si>
  <si>
    <t>GIVEN l'historique WHEN il est consulté THEN chaque passage indique la promotion, la date, l'auteur et les effectifs concernés.
GIVEN une opération de passage WHEN elle est ouverte THEN le rapport d'état archivé est consultable.</t>
  </si>
  <si>
    <t>US-058</t>
  </si>
  <si>
    <t>Étudiant</t>
  </si>
  <si>
    <t>Progression</t>
  </si>
  <si>
    <t>En tant qu'Étudiant, je veux suivre ma progression vers le diplôme, afin de savoir précisément ce qu'il me reste à accomplir.</t>
  </si>
  <si>
    <t>GIVEN mon tableau de bord WHEN il est ouvert THEN une barre de progression affiche le pourcentage de matières validées sur le total du programme.
GIVEN une matière nouvellement validée WHEN la validation officielle intervient THEN le pourcentage est recalculé automatiquement.
GIVEN un taux inférieur à 100 % WHEN il est affiché THEN le nombre de matières restantes est précisé.</t>
  </si>
  <si>
    <t>Front</t>
  </si>
  <si>
    <t>US-059</t>
  </si>
  <si>
    <t>En tant que Secrétariat, je veux consulter la fiche de progression d'un étudiant, afin de l'accompagner dans la planification de ses rattrapages.</t>
  </si>
  <si>
    <t>GIVEN un étudiant WHEN sa fiche de progression est ouverte THEN les matières validées, en cours et sans aucun cours suivi sont distinguées.
GIVEN une matière validée WHEN elle est affichée THEN elle est signalée comme acquise définitivement et ne peut jamais être remise en cause.</t>
  </si>
  <si>
    <t>US-060</t>
  </si>
  <si>
    <t>En tant que Secrétariat, je veux inscrire un étudiant à un cours de rattrapage dispensé avec une autre promotion, afin qu'il puisse compléter sa matière.</t>
  </si>
  <si>
    <t>GIVEN un cours à faire WHEN l'étudiant y est inscrit en rattrapage THEN son statut passe de « Cours à faire » à « Inscrit en rattrapage » et l'étudiant est notifié.
GIVEN une inscription en rattrapage WHEN elle est enregistrée THEN le cours apparaît dans le planning de l'étudiant et dans la liste de présence de l'enseignant.
GIVEN un cours déjà suivi WHEN une inscription en rattrapage est tentée THEN elle est refusée.</t>
  </si>
  <si>
    <t>US-061</t>
  </si>
  <si>
    <t>Enseignant</t>
  </si>
  <si>
    <t>En tant qu'Enseignant, je veux identifier les étudiants en rattrapage dans ma liste de présence, afin de les prendre en compte sans confusion avec la promotion titulaire.</t>
  </si>
  <si>
    <t>GIVEN une liste de présence WHEN un étudiant y est inscrit en rattrapage THEN il est affiché avec un badge « Rattrapage ».
GIVEN cet étudiant WHEN sa présence et sa note sont saisies THEN elles alimentent son propre dossier et non celui de la promotion titulaire.</t>
  </si>
  <si>
    <t>US-062</t>
  </si>
  <si>
    <t>Diplomation</t>
  </si>
  <si>
    <t>En tant que Direction, je veux délivrer le diplôme d'un étudiant ayant validé 100 % de ses matières, afin de finaliser officiellement son parcours.</t>
  </si>
  <si>
    <t>GIVEN un étudiant WHEN son taux de matières validées est inférieur à 100 % THEN la délivrance du diplôme est bloquée.
GIVEN un étudiant dont la Matière Stage ou la Matière Soutenance n'est pas validée WHEN la délivrance est tentée THEN elle est refusée, même si toutes ses matières académiques sont validées.
GIVEN un diplôme délivré WHEN il est enregistré THEN un numéro unique, la date et l'autorité signataire sont conservés.</t>
  </si>
  <si>
    <t>US-063</t>
  </si>
  <si>
    <t>En tant que Secrétariat, je veux éditer une attestation de formation partielle, afin de répondre aux demandes des étudiants n'ayant pas encore validé toutes leurs matières.</t>
  </si>
  <si>
    <t>GIVEN un étudiant non diplômé WHEN une attestation est demandée THEN elle liste uniquement les matières effectivement validées.
GIVEN une attestation éditée WHEN elle est générée THEN elle porte un numéro, une date, et est archivée dans le dossier de l'étudiant.</t>
  </si>
  <si>
    <t>US-064</t>
  </si>
  <si>
    <t>Portail</t>
  </si>
  <si>
    <t>En tant qu'Étudiant, je veux me connecter à mon portail personnel, afin d'accéder à mon dossier académique depuis un ordinateur ou un smartphone.</t>
  </si>
  <si>
    <t>GIVEN mes identifiants WHEN je me connecte THEN j'accède uniquement à mon propre dossier.
GIVEN un smartphone Android 8+ ou iOS 13+ WHEN j'ouvre le portail THEN l'interface est utilisable en mode responsive.
GIVEN une connexion à 1 Mbps WHEN je charge mon tableau de bord THEN il s'affiche de manière exploitable.</t>
  </si>
  <si>
    <t>US-065</t>
  </si>
  <si>
    <t>En tant qu'Étudiant, je veux consulter mon programme et mes matières, afin de connaître le contenu de ma formation.</t>
  </si>
  <si>
    <t>GIVEN mon espace WHEN j'ouvre « Mes matières » THEN seules les matières de la version publiée du programme de mon niveau sont affichées.
GIVEN chaque matière WHEN elle est affichée THEN son coefficient, son volume horaire et son statut sont visibles.</t>
  </si>
  <si>
    <t>US-066</t>
  </si>
  <si>
    <t>En tant qu'Étudiant, je veux consulter la liste de mes cours à faire, afin de planifier mes rattrapages.</t>
  </si>
  <si>
    <t>GIVEN mon espace WHEN j'ouvre « Mes cours à faire » THEN chaque cours est affiché avec sa matière, son niveau d'origine et son statut de rattrapage.
GIVEN un statut WHEN il est affiché THEN il est identifié par une couleur et par une icône complémentaire, pour l'accessibilité.</t>
  </si>
  <si>
    <t>US-067</t>
  </si>
  <si>
    <t>En tant que représentant d'Église, je veux suivre le parcours académique d'un étudiant que mon Église recommande, afin de l'accompagner durant sa formation.</t>
  </si>
  <si>
    <t>GIVEN un étudiant recommandé WHEN j'ouvre sa fiche THEN j'accède en lecture seule à son niveau, à ses matières et à sa progression.
GIVEN cette fiche WHEN elle est affichée THEN aucune donnée financière n'est visible.
GIVEN un étudiant non recommandé par mon Église WHEN j'en demande l'accès THEN il est refusé et l'événement est journalisé.</t>
  </si>
  <si>
    <t>US-068</t>
  </si>
  <si>
    <t>Pilotage</t>
  </si>
  <si>
    <t>En tant que Direction, je veux consulter un tableau de bord des effectifs et des inscriptions, afin de piloter la rentrée académique en un coup d'œil.</t>
  </si>
  <si>
    <t>GIVEN le tableau de bord WHEN il est ouvert THEN il présente les effectifs par promotion et par niveau, ainsi que l'avancement des inscriptions.
GIVEN les indicateurs WHEN ils sont affichés THEN leur date de dernière actualisation est visible.
GIVEN un indicateur WHEN il est cliqué THEN le détail nominatif correspondant est accessible.</t>
  </si>
  <si>
    <t>US-069</t>
  </si>
  <si>
    <t>En tant que Gestionnaire, je veux consulter le tableau de bord des encaissements, afin de suivre les recettes de la campagne d'inscription.</t>
  </si>
  <si>
    <t>GIVEN le tableau de bord WHEN il est ouvert THEN il présente le montant encaissé, le reste à recouvrer et la répartition par moyen de paiement.
GIVEN les indicateurs WHEN ils sont affichés THEN ils sont filtrables par promotion et par période.</t>
  </si>
  <si>
    <t>US-070</t>
  </si>
  <si>
    <t>En tant que Secrétariat, je veux disposer d'un tableau de bord de la rentrée, afin de suivre au quotidien les dossiers restant à traiter.</t>
  </si>
  <si>
    <t>GIVEN le tableau de bord WHEN il est ouvert THEN il présente les dossiers à valider, les pièces manquantes et les paiements en attente.
GIVEN une carte d'indicateur WHEN elle est cliquée THEN la liste de travail correspondante s'ouvre.</t>
  </si>
  <si>
    <t>US-071</t>
  </si>
  <si>
    <t>Notifications</t>
  </si>
  <si>
    <t>En tant qu'utilisateur du système, je veux recevoir des notifications dans l'application et par e-mail, afin d'être informé des événements qui me concernent.</t>
  </si>
  <si>
    <t>GIVEN un événement notifiable WHEN il se produit THEN une notification est générée pour les seuls profils concernés.
GIVEN une notification WHEN elle est émise THEN elle est horodatée et non modifiable.
GIVEN mon espace WHEN j'ouvre mes notifications THEN je peux les marquer comme lues et les filtrer par type.</t>
  </si>
  <si>
    <t>US-072</t>
  </si>
  <si>
    <t>En tant que Secrétariat, je veux consulter la liste des étudiants filtrée par niveau (A1 à A4), afin de suivre les effectifs de chaque niveau du programme.</t>
  </si>
  <si>
    <t>GIVEN la liste des étudiants WHEN je sélectionne un niveau (A1, A2, A3 ou A4) THEN seuls les étudiants actifs de ce niveau sont affichés avec leur matricule, leur nom, leur promotion et leur Église recommandatrice.
GIVEN la liste filtrée par niveau WHEN elle est affichée THEN un compteur total du niveau est visible en en-tête.
GIVEN un étudiant en départ de formation WHEN le filtre par niveau est appliqué THEN il n'apparaît pas dans la liste.</t>
  </si>
  <si>
    <t>US-073</t>
  </si>
  <si>
    <t>En tant que Secrétariat, je veux consulter la liste des étudiants regroupée par promotion et par année d'entrée, afin de retrouver rapidement la cohorte correspondant à une rentrée donnée.</t>
  </si>
  <si>
    <t>GIVEN la liste des étudiants WHEN je sélectionne une promotion (format PROMO-AAAA) THEN seuls les étudiants de cette promotion sont affichés avec leur niveau courant et leur statut.
GIVEN cette liste WHEN je choisis de la regrouper par année d'entrée THEN les étudiants sont répartis par année, indépendamment de leur niveau actuel.
GIVEN une promotion WHEN sa liste est ouverte THEN les effectifs actifs, en rattrapage, diplômés et en départ sont dénombrés séparément.</t>
  </si>
  <si>
    <t>US-074</t>
  </si>
  <si>
    <t>En tant que Secrétariat, je veux consulter la liste consolidée de tous les étudiants recommandés, regroupés par Église, afin d'avoir une vue d'ensemble des recommandations toutes Églises confondues.</t>
  </si>
  <si>
    <t>GIVEN la liste consolidée WHEN elle est ouverte THEN les étudiants sont regroupés par Église recommandatrice avec un sous-total par Église et un total général.
GIVEN cette liste WHEN je sélectionne une Église précise THEN seuls les étudiants qu'elle recommande sont affichés.
GIVEN un étudiant sans Église recommandatrice renseignée WHEN la liste est générée THEN ce cas est impossible, la recommandation étant obligatoire à la saisie du dossier.</t>
  </si>
  <si>
    <t>US-075</t>
  </si>
  <si>
    <t>En tant que Secrétariat, je veux consulter la liste des candidats ayant réalisé leur pré-inscription en ligne, afin de distinguer les dossiers numériques déjà soumis de ceux encore en attente.</t>
  </si>
  <si>
    <t>GIVEN le tableau de suivi de la pré-inscription WHEN je filtre sur le statut « Pré-inscrit » ou « Validé » THEN seuls les candidats ayant soumis leur formulaire en ligne sont affichés.
GIVEN cette liste WHEN elle est affichée THEN la date de soumission et l'Église de recommandation de chaque candidat sont visibles.
GIVEN un candidat WHEN son dossier n'a pas encore été soumis en ligne THEN il n'apparaît pas dans cette liste mais reste visible dans le tableau de suivi global (US-040).</t>
  </si>
  <si>
    <t>US-076</t>
  </si>
  <si>
    <t>En tant que Secrétariat, je veux consulter la liste des étudiants recommandés par une Église en distinguant ceux ayant réalisé leur pré-inscription de ceux ne l'ayant pas encore faite, afin de cibler mes relances par Église.</t>
  </si>
  <si>
    <t>GIVEN la liste des recommandés d'une Église WHEN elle est ouverte THEN deux sous-listes distinctes sont affichées : « Pré-inscription faite » et « Pré-inscription non faite ».
GIVEN un candidat recommandé WHEN son statut de pré-inscription change THEN il bascule automatiquement de sous-liste sans intervention manuelle.
GIVEN cette vue WHEN elle est exportée THEN les deux sous-listes sont identifiées distinctement dans le fichier.</t>
  </si>
  <si>
    <t>US-077</t>
  </si>
  <si>
    <t>Pièces justificatives</t>
  </si>
  <si>
    <t>En tant que Secrétariat, je veux consulter la liste des étudiants dont les pièces justificatives sont à jour (dossier complet), afin d'identifier les dossiers prêts pour la validation de l'inscription.</t>
  </si>
  <si>
    <t>GIVEN la liste des pré-inscrits WHEN je filtre sur « Pièces à jour » THEN seuls les dossiers pour lesquels toutes les pièces obligatoires ont été déposées et validées sont affichés.
GIVEN un dossier WHEN une pièce obligatoire est manquante ou en attente de contrôle THEN il n'apparaît pas dans cette liste.
GIVEN cette liste WHEN elle est affichée THEN la date de complétude du dossier est visible pour chaque étudiant.</t>
  </si>
  <si>
    <t>US-078</t>
  </si>
  <si>
    <t>En tant que Secrétariat, je veux consulter, pour une Église donnée, la liste de ses étudiants recommandés dont les pièces sont à jour, afin de préparer les inscriptions définitives par Église.</t>
  </si>
  <si>
    <t>GIVEN la fiche d'une Église WHEN j'ouvre l'onglet « Dossiers à jour » THEN seuls les étudiants recommandés par cette Église et dont le dossier est complet sont listés.
GIVEN cette liste WHEN elle est affichée THEN le nombre de dossiers restant incomplets pour la même Église est indiqué en complément.</t>
  </si>
  <si>
    <t>US-079</t>
  </si>
  <si>
    <t>En tant que Secrétariat, je veux consulter la liste des étudiants dont le dossier est incomplet, afin de savoir précisément quelles pièces manquent pour chacun.</t>
  </si>
  <si>
    <t>GIVEN la liste des dossiers incomplets WHEN elle est ouverte THEN chaque ligne indique nommément la ou les pièces manquantes.
GIVEN un dossier incomplet WHEN toutes les pièces manquantes sont finalement déposées THEN il est automatiquement retiré de cette liste.
GIVEN cette liste WHEN un filtre par Église ou par ancienneté du dossier est appliqué THEN elle se met à jour en conséquence.</t>
  </si>
  <si>
    <t>US-080</t>
  </si>
  <si>
    <t>En tant que Secrétariat, je veux vérifier si un candidat pré-inscrit a bien été recommandé par une Église partenaire avant de poursuivre son dossier, afin de respecter la règle EBAC selon laquelle aucun étudiant n'intègre l'école sans recommandation.</t>
  </si>
  <si>
    <t>GIVEN un dossier de pré-inscription WHEN je consulte sa fiche THEN le statut de recommandation (Église identifiée / Église non renseignée) est affiché de façon visible en tête de fiche.
GIVEN un dossier sans Église recommandatrice renseignée WHEN je tente de le faire progresser vers la validation THEN le système bloque l'action et m'invite à renseigner ou faire renseigner l'Église.
GIVEN une Église saisie WHEN elle ne correspond à aucune Église du référentiel THEN une alerte de contrôle est affichée avant tout enregistrement.</t>
  </si>
  <si>
    <t>US-081</t>
  </si>
  <si>
    <t>Validation</t>
  </si>
  <si>
    <t>En tant que Secrétariat, je veux, après avoir vérifié qu'un étudiant est bien recommandé par une Église, valider sa recommandation afin qu'il reçoive automatiquement ses accès de connexion au portail.</t>
  </si>
  <si>
    <t>GIVEN un dossier dont l'Église recommandatrice est vérifiée et confirmée WHEN je l'ouvre THEN le bouton « Valider la recommandation » devient actif.
GIVEN cette validation WHEN elle est effectuée THEN le statut du dossier passe à « Recommandation validée » et l'auteur, la date de validation sont enregistrés.
GIVEN une recommandation validée WHEN elle est enregistrée THEN un compte d'accès (identifiants de connexion) est généré automatiquement pour l'étudiant et transmis par e-mail.
GIVEN un dossier dont l'Église n'est pas renseignée ou non vérifiée WHEN une tentative de validation est faite THEN elle est refusée avec un message explicite.</t>
  </si>
  <si>
    <t>US-082</t>
  </si>
  <si>
    <t>Stage</t>
  </si>
  <si>
    <t>En tant que Secrétariat, je veux consulter la liste des étudiants actuellement en stage (Matière Stage A3), afin de suivre l'avancement de cette étape obligatoire du cursus.</t>
  </si>
  <si>
    <t>GIVEN la liste des étudiants de niveau A3 WHEN je filtre sur « En stage » THEN seuls les étudiants dont la Matière Stage est en cours sont affichés, avec l'Église d'affectation du stage.
GIVEN cette liste WHEN elle est affichée THEN le statut du stage (En cours, Journal à jour, En retard) est visible pour chaque étudiant.</t>
  </si>
  <si>
    <t>US-083</t>
  </si>
  <si>
    <t>Soutenance</t>
  </si>
  <si>
    <t>En tant que Secrétariat, je veux consulter la liste des étudiants en soutenance (Matière Soutenance A4), afin de préparer les sessions et suivre les résultats à venir.</t>
  </si>
  <si>
    <t>GIVEN la liste des étudiants de niveau A4 WHEN je filtre sur « En soutenance » THEN seuls les étudiants dont la Matière Soutenance est planifiée ou en cours sont affichés, avec la date de session prévue.
GIVEN cette liste WHEN un résultat de soutenance est enregistré THEN l'étudiant concerné passe automatiquement au statut « Soutenance validée » ou « Ajournée ».</t>
  </si>
  <si>
    <t>US-084</t>
  </si>
  <si>
    <t>En tant que Direction, je veux consulter un tableau de bord croisant les étudiants par niveau, par promotion et par Église recommandatrice, afin de disposer d'une vue de pilotage complète du Secrétariat académique.</t>
  </si>
  <si>
    <t>GIVEN le tableau de bord WHEN il est ouvert THEN il présente simultanément la répartition des étudiants par niveau, par promotion et par Église recommandatrice.
GIVEN un axe de répartition (niveau, promotion ou Église) WHEN il est cliqué THEN la liste nominative correspondante s'ouvre.
GIVEN ce tableau de bord WHEN il est affiché THEN il inclut également le nombre de dossiers en attente de validation de recommandation.</t>
  </si>
  <si>
    <t>US-085</t>
  </si>
  <si>
    <t>En tant que Secrétariat, je veux consulter la liste des étudiants recommandés par Église en la croisant avec leur niveau académique, afin de savoir précisément combien d'étudiants de chaque Église se trouvent à chaque niveau.</t>
  </si>
  <si>
    <t>GIVEN la fiche d'une Église WHEN j'ouvre la répartition par niveau THEN le nombre d'étudiants recommandés par cette Église est affiché pour chacun des niveaux A1 à A4.
GIVEN cette répartition WHEN un niveau est sélectionné THEN la liste nominative des étudiants de cette Église à ce niveau s'affiche.</t>
  </si>
  <si>
    <t>TOTAL DU BACKLOG AFFINÉ</t>
  </si>
  <si>
    <t>Légende — Colonnes à mettre à jour par l'équipe : « DoR » (M) et « Statut » (N), via les listes déroulantes. Les colonnes A à L relèvent du Product Owner. La colonne « Story points » applique la suite de Fibonacci du Manuel SOUMAFÊ (1, 2, 3, 5, 8, 13, 21).</t>
  </si>
  <si>
    <t>Plan de sprints</t>
  </si>
  <si>
    <t>Sprints de 2 semaines (10 jours ouvrés) — Manuel Agile / SCRUM SF SOUMAFÊ §06</t>
  </si>
  <si>
    <t>Sprint</t>
  </si>
  <si>
    <t>Début</t>
  </si>
  <si>
    <t>Fin</t>
  </si>
  <si>
    <t>Capacité (pts)</t>
  </si>
  <si>
    <t>Points planifiés</t>
  </si>
  <si>
    <t>Nb US</t>
  </si>
  <si>
    <t>Sprint Goal</t>
  </si>
  <si>
    <t>Sprint 0</t>
  </si>
  <si>
    <t>06/08/2026</t>
  </si>
  <si>
    <t>07/08/2026</t>
  </si>
  <si>
    <t>—</t>
  </si>
  <si>
    <t>Setup Agile : outillage, dépôt Git, conventions d'équipe, environnements, constitution et estimation du backlog initial.</t>
  </si>
  <si>
    <t>Planifié</t>
  </si>
  <si>
    <t>10/08/2026</t>
  </si>
  <si>
    <t>21/08/2026</t>
  </si>
  <si>
    <t>Ce sprint, nous livrerons l'authentification sécurisée et la gestion des comptes pour l'Administrateur de l'EBAC, afin que la plateforme puisse être ouverte aux premiers utilisateurs.</t>
  </si>
  <si>
    <t>24/08/2026</t>
  </si>
  <si>
    <t>04/09/2026</t>
  </si>
  <si>
    <t>Ce sprint, nous livrerons la pré-inscription numérique pour les candidats invités, afin qu'ils constituent leur dossier à distance avant la rentrée.</t>
  </si>
  <si>
    <t>07/09/2026</t>
  </si>
  <si>
    <t>18/09/2026</t>
  </si>
  <si>
    <t>Ce sprint, nous livrerons au Secrétariat académique et à la Direction les vues de consultation des dossiers étudiants (par niveau, promotion, année d'entrée, Église recommandatrice, statut de pré-inscription et complétude des pièces) ainsi que le contrôle et la validation de la recommandation d'un étudiant par son Église, afin que le Secrétariat puisse fiabiliser les inscriptions et ouvrir les accès portail en toute autonomie.</t>
  </si>
  <si>
    <t>21/09/2026</t>
  </si>
  <si>
    <t>02/10/2026</t>
  </si>
  <si>
    <t>À confirmer</t>
  </si>
  <si>
    <t>Permettre aux enseignants de consulter leurs cours et plannings, de relever et valider les présences, et aux étudiants de consulter leurs matières, cours à faire, progression et planning dans un espace cloisonné.</t>
  </si>
  <si>
    <t>Proposé — capacité à valider</t>
  </si>
  <si>
    <t>Sprint Backlog — Sprint 0</t>
  </si>
  <si>
    <t>10/08/2026  · Sprint de démarrage (setup Agile), créé en Sprint Planning</t>
  </si>
  <si>
    <t>ID tâche</t>
  </si>
  <si>
    <t>User Story</t>
  </si>
  <si>
    <t>Tâche technique</t>
  </si>
  <si>
    <t>Assigné à</t>
  </si>
  <si>
    <t>Date début</t>
  </si>
  <si>
    <t>Échéance</t>
  </si>
  <si>
    <t>Estimation (h)</t>
  </si>
  <si>
    <t>Reste à faire (h)</t>
  </si>
  <si>
    <t>Point</t>
  </si>
  <si>
    <t>Observation</t>
  </si>
  <si>
    <t>T-001</t>
  </si>
  <si>
    <t>Sélection et configuration de l'outillage frontend (dépendances, structure des écrans)</t>
  </si>
  <si>
    <t>M. KOUASSI</t>
  </si>
  <si>
    <t>T-002</t>
  </si>
  <si>
    <t>Mise en place du client API</t>
  </si>
  <si>
    <t>T-003</t>
  </si>
  <si>
    <t>Définition des conventions d'écrans et du design system</t>
  </si>
  <si>
    <t xml:space="preserve"> </t>
  </si>
  <si>
    <t>Sprint Backlog — Sprint 0 API</t>
  </si>
  <si>
    <t>Sélection et configuration de l'outillage backend (framework API, dépendances, structure du projet)</t>
  </si>
  <si>
    <t>ZRAN</t>
  </si>
  <si>
    <t>Mise en place du dépôt Git backend et de la structure des applications/modules</t>
  </si>
  <si>
    <t>Configuration de la base de données et des environnements (PostgreSQL, variables d'environnement)</t>
  </si>
  <si>
    <t>T-004</t>
  </si>
  <si>
    <t>Définition des conventions API (nommage des endpoints, format des réponses JSON, gestion des erreurs)</t>
  </si>
  <si>
    <t>Sprint Backlog — Sprint 1</t>
  </si>
  <si>
    <t>Du 10/08/2026 au 21/08/2026 · Décomposition en tâches techniques (8 h maximum par tâche), créée en Sprint Planning</t>
  </si>
  <si>
    <t>T-101</t>
  </si>
  <si>
    <t>Écran de connexion responsive conforme à la maquette V1</t>
  </si>
  <si>
    <t>T-102</t>
  </si>
  <si>
    <t>Intégration API de connexion (login) et gestion des erreurs d'authentification</t>
  </si>
  <si>
    <t>T-103</t>
  </si>
  <si>
    <t>Écran de saisie du code OTP et gestion des messages d'erreur</t>
  </si>
  <si>
    <t>T-104</t>
  </si>
  <si>
    <t>Intégration API de vérification du code OTP et gestion de l'expiration</t>
  </si>
  <si>
    <t>T-105</t>
  </si>
  <si>
    <t>Écrans liste des comptes et formulaire de création</t>
  </si>
  <si>
    <t>T-106</t>
  </si>
  <si>
    <t>Intégration API CRUD des comptes (création, liste, contrôle d'unicité de l'e-mail)</t>
  </si>
  <si>
    <t>T-107</t>
  </si>
  <si>
    <t>Écran de changement de mot de passe imposé à la première connexion</t>
  </si>
  <si>
    <t>T-108</t>
  </si>
  <si>
    <t>Intégration API de changement de mot de passe</t>
  </si>
  <si>
    <t>T-111</t>
  </si>
  <si>
    <t>Écrans « Mot de passe oublié » et « Nouveau mot de passe »</t>
  </si>
  <si>
    <t>T-112</t>
  </si>
  <si>
    <t>Intégration API de réinitialisation du mot de passe (jeton, politique de complexité)</t>
  </si>
  <si>
    <t>T-113</t>
  </si>
  <si>
    <t>Écran de paramétrage de l'année académique</t>
  </si>
  <si>
    <t>T-114</t>
  </si>
  <si>
    <t>Intégration API de l'année académique (CRUD, contrôle de chevauchement)</t>
  </si>
  <si>
    <t>T-115</t>
  </si>
  <si>
    <t>Écran de gestion des promotions et compteurs d'effectifs</t>
  </si>
  <si>
    <t>T-116</t>
  </si>
  <si>
    <t>Intégration API des promotions (format PROMO-AAAA, calcul des effectifs)</t>
  </si>
  <si>
    <t xml:space="preserve">Sprint Backlog — Sprint 1 API </t>
  </si>
  <si>
    <t>Développer l'API de connexion avec génération et envoi du code OTP (2FA)</t>
  </si>
  <si>
    <t>Développer l'API de vérification du code OTP et la gestion de son expiration (10 min)</t>
  </si>
  <si>
    <t>Implémenter le blocage automatique après 5 échecs de connexion consécutifs</t>
  </si>
  <si>
    <t>Développer les endpoints CRUD des comptes utilisateurs et le contrôle d'unicité de l'e-mail</t>
  </si>
  <si>
    <t>Implémenter le mot de passe temporaire et le changement forcé à la première connexion</t>
  </si>
  <si>
    <t>Développer les endpoints de suspension, blocage, réactivation et désactivation de compte</t>
  </si>
  <si>
    <t>Implémenter l'invalidation immédiate des sessions actives lors d'un changement de statut</t>
  </si>
  <si>
    <t>Développer la matrice rôle × permission avec application immédiate des changements</t>
  </si>
  <si>
    <t>Développer l'API de réinitialisation autonome du mot de passe (lien à usage unique, 30 min)</t>
  </si>
  <si>
    <t>Développer l'API de paramétrage de la politique de sécurité (mots de passe, durée de session)</t>
  </si>
  <si>
    <t>Écrire les tests automatisés et documenter les endpoints de sécurité</t>
  </si>
  <si>
    <t>Sprint Backlog — Sprint 2</t>
  </si>
  <si>
    <t>Du 24/08/2026 au 04/09/2026 · Décomposition en tâches techniques (8 h maximum par tâche), créée en Sprint Planning</t>
  </si>
  <si>
    <t>T-201</t>
  </si>
  <si>
    <t>Écran de gestion des Églises (liste et formulaire)</t>
  </si>
  <si>
    <t>T-202</t>
  </si>
  <si>
    <t>Intégration API CRUD Églises (création, modification, désactivation)</t>
  </si>
  <si>
    <t>T-203</t>
  </si>
  <si>
    <t>Ajout du champ Église recommandatrice obligatoire dans le formulaire de dossier étudiant</t>
  </si>
  <si>
    <t>T-204</t>
  </si>
  <si>
    <t>Intégration API du contrôle de rattachement et affichage des erreurs</t>
  </si>
  <si>
    <t>T-209</t>
  </si>
  <si>
    <t>Écran du formulaire de pré-inscription (multi-étapes)</t>
  </si>
  <si>
    <t>T-210</t>
  </si>
  <si>
    <t>Intégration API de soumission du formulaire et gestion des erreurs de validation</t>
  </si>
  <si>
    <t>T-212</t>
  </si>
  <si>
    <t>Écran de l'accusé de réception (statut « Pré-inscrit »)</t>
  </si>
  <si>
    <t>Sprint Backlog — Sprint 2 API</t>
  </si>
  <si>
    <t>API-02-03</t>
  </si>
  <si>
    <t>Développer les endpoints CRUD des matières</t>
  </si>
  <si>
    <t>1/608/2026</t>
  </si>
  <si>
    <t>API-02-04</t>
  </si>
  <si>
    <t>Développer les endpoints CRUD des modules et des cours</t>
  </si>
  <si>
    <t>API-02-09</t>
  </si>
  <si>
    <t>Ajouter les filtres par niveau, module, matière et année académique</t>
  </si>
  <si>
    <t>API-03-02</t>
  </si>
  <si>
    <t>Développer l'API CRUD des années académiques</t>
  </si>
  <si>
    <t>API-03-03</t>
  </si>
  <si>
    <t>Garantir qu'une seule année académique soit active</t>
  </si>
  <si>
    <t>API-03-07</t>
  </si>
  <si>
    <t>Développer les endpoints CRUD des salles et promotions</t>
  </si>
  <si>
    <t>API-03-08</t>
  </si>
  <si>
    <t>Développer l'API du calendrier académique consolidé</t>
  </si>
  <si>
    <t>API-03-09</t>
  </si>
  <si>
    <t>Ajouter les filtres par année, période, salle et promotion</t>
  </si>
  <si>
    <t>API-03-10</t>
  </si>
  <si>
    <t>Écrire les tests et documenter les endpoints</t>
  </si>
  <si>
    <t>API-04-02</t>
  </si>
  <si>
    <t>Développer les endpoints CRUD des Églises</t>
  </si>
  <si>
    <t>API-04-04</t>
  </si>
  <si>
    <t>Créer et gérer les comptes utilisateurs rattachés aux Églises</t>
  </si>
  <si>
    <t>API-04-05</t>
  </si>
  <si>
    <t>Implémenter le cloisonnement des données par Église</t>
  </si>
  <si>
    <t>API-04-06</t>
  </si>
  <si>
    <t>Ajouter l'Église recommandatrice au dossier étudiant</t>
  </si>
  <si>
    <t>API-04-08</t>
  </si>
  <si>
    <t>Développer l'API de consultation des étudiants recommandés</t>
  </si>
  <si>
    <t>API-05-04</t>
  </si>
  <si>
    <t>Développer l'API publique d'accès au formulaire de pré-inscription</t>
  </si>
  <si>
    <t>API-05-05</t>
  </si>
  <si>
    <t>Implémenter l'enregistrement temporaire du formulaire multi-étapes</t>
  </si>
  <si>
    <t>API-05-06</t>
  </si>
  <si>
    <t>Développer l'API de soumission définitive de la pré-inscription</t>
  </si>
  <si>
    <t>API-05-07</t>
  </si>
  <si>
    <t>Développer l'API de dépôt et de consultation des pièces justificatives</t>
  </si>
  <si>
    <t>API-06-05</t>
  </si>
  <si>
    <t>Créer automatiquement le compte portail de l'étudiant</t>
  </si>
  <si>
    <t>API-06-07</t>
  </si>
  <si>
    <t>Développer la gestion des statuts du dossier étudiant</t>
  </si>
  <si>
    <t>API-06-08</t>
  </si>
  <si>
    <t>Enregistrer l'historique des changements de statut</t>
  </si>
  <si>
    <t>API-06-09</t>
  </si>
  <si>
    <t>Ajouter la recherche et les filtres multicritères</t>
  </si>
  <si>
    <t>API-06-10</t>
  </si>
  <si>
    <t>Implémenter les notifications d'inscription définitive</t>
  </si>
  <si>
    <t>API-06-11</t>
  </si>
  <si>
    <t>API-07-02</t>
  </si>
  <si>
    <t>Développer les endpoints de gestion des promotions</t>
  </si>
  <si>
    <t>API-07-03</t>
  </si>
  <si>
    <t>Développer l'API de prévisualisation du passage annuel</t>
  </si>
  <si>
    <t>API-08-03</t>
  </si>
  <si>
    <t>Développer l'API de consultation de la progression d'un étudiant</t>
  </si>
  <si>
    <t>Sprint Backlog — Sprint 3  Front-end</t>
  </si>
  <si>
    <t>T-301</t>
  </si>
  <si>
    <t>Écran de validation de l'inscription définitive (vérification du dossier et bouton de validation)</t>
  </si>
  <si>
    <t>Terminée</t>
  </si>
  <si>
    <t>T-301-I</t>
  </si>
  <si>
    <t>Intégration API de validation de l'inscription définitive et contrôle du dossier</t>
  </si>
  <si>
    <t>En attente de l'api</t>
  </si>
  <si>
    <t>T-302</t>
  </si>
  <si>
    <t>Affichage du matricule généré automatiquement sur la fiche étudiant après validation</t>
  </si>
  <si>
    <t>T-302-I</t>
  </si>
  <si>
    <t>Intégration API de génération et récupération du matricule étudiant</t>
  </si>
  <si>
    <t>T-303</t>
  </si>
  <si>
    <t>Écran liste des étudiants avec filtre par niveau (A1 à A4) et compteur d'effectif</t>
  </si>
  <si>
    <t>T-303-I</t>
  </si>
  <si>
    <t>Intégration API de la liste des étudiants avec filtres par niveau (A1–A4) et compteur d'effectif</t>
  </si>
  <si>
    <t>T-304</t>
  </si>
  <si>
    <t>Écran liste des étudiants par promotion avec regroupement par année d'entrée</t>
  </si>
  <si>
    <t>T-304-I</t>
  </si>
  <si>
    <t>Intégration API de la liste des étudiants par promotion avec regroupement par année d'entrée</t>
  </si>
  <si>
    <t>T-306</t>
  </si>
  <si>
    <t>Écran liste des candidats ayant soumis leur pré-inscription en ligne</t>
  </si>
  <si>
    <t>T-306-I</t>
  </si>
  <si>
    <t>Intégration API de la liste des candidats ayant soumis leur pré-inscription en ligne</t>
  </si>
  <si>
    <t>T-307</t>
  </si>
  <si>
    <t>Écran double liste (pré-inscription faite / non faite) par Église</t>
  </si>
  <si>
    <t>T-307-I</t>
  </si>
  <si>
    <t>Intégration API de la double liste pré-inscription (faite / non faite) par Église</t>
  </si>
  <si>
    <t>T-308</t>
  </si>
  <si>
    <t>Écran liste des dossiers dont les pièces sont à jour</t>
  </si>
  <si>
    <t>T-308-I</t>
  </si>
  <si>
    <t>Intégration API de la liste des dossiers et contrôle de complétude des pièces</t>
  </si>
  <si>
    <t>T-305</t>
  </si>
  <si>
    <t>Écran vue consolidée des étudiants recommandés, regroupés par Église avec sous-totaux</t>
  </si>
  <si>
    <t>T-305-I</t>
  </si>
  <si>
    <t>Intégration API de la vue consolidée des étudiants recommandés, regroupés par Église avec sous-totaux</t>
  </si>
  <si>
    <t>T-313</t>
  </si>
  <si>
    <t>US-120</t>
  </si>
  <si>
    <t>Campagne</t>
  </si>
  <si>
    <t>Écran liste des étudiants en stage (A3) avec statut du journal</t>
  </si>
  <si>
    <t>T-313-I</t>
  </si>
  <si>
    <t>Intégration API de la liste des étudiants en stage (A3) et lecture du statut du journal</t>
  </si>
  <si>
    <t>T-314</t>
  </si>
  <si>
    <t>US-131</t>
  </si>
  <si>
    <t>Sessions</t>
  </si>
  <si>
    <t>Écran liste des étudiants en soutenance (A4) avec date de session prévue</t>
  </si>
  <si>
    <t>T-314-I</t>
  </si>
  <si>
    <t>Intégration API de la liste des étudiants en soutenance (A4) et récupération des dates de session</t>
  </si>
  <si>
    <t>T-315</t>
  </si>
  <si>
    <t>Tableau de bord Direction (niveau × promotion × Église) avec drill-down</t>
  </si>
  <si>
    <t>T-315-I</t>
  </si>
  <si>
    <t>Intégration API du tableau de bord Direction (agrégation niveau × promotion × Église)</t>
  </si>
  <si>
    <t>T-316</t>
  </si>
  <si>
    <t>Vue de répartition par niveau sur la fiche Église</t>
  </si>
  <si>
    <t>T-316-I</t>
  </si>
  <si>
    <t>Intégration API de la vue de répartition par niveau sur la fiche Église</t>
  </si>
  <si>
    <t>Sprint Backlog — Sprint 3 API</t>
  </si>
  <si>
    <t>Du 07/09/2026 au 18/09/2026 · Décomposition en tâches techniques (8 h maximum par tâche), créée en Sprint Planning</t>
  </si>
  <si>
    <t>API-301</t>
  </si>
  <si>
    <t>Endpoint de validation de l'inscription définitive (contrôle de complétude, changement de statut, affectation promotion/niveau)</t>
  </si>
  <si>
    <t>API-302</t>
  </si>
  <si>
    <t>Génération automatique du matricule EBAC-[ANNÉE]-[SÉQUENCE] sans collision de séquence</t>
  </si>
  <si>
    <t>API-303</t>
  </si>
  <si>
    <t>Endpoint de liste des étudiants filtrée par niveau</t>
  </si>
  <si>
    <t>API-304</t>
  </si>
  <si>
    <t>Endpoint de liste des étudiants filtrée par promotion et calcul des effectifs par statut</t>
  </si>
  <si>
    <t>API-305</t>
  </si>
  <si>
    <t>Endpoint de liste consolidée des étudiants groupés par Église avec sous-totaux</t>
  </si>
  <si>
    <t>API-306</t>
  </si>
  <si>
    <t>Endpoint de liste des candidats filtrée sur statut Pré-inscrit / Validé</t>
  </si>
  <si>
    <t>API-307</t>
  </si>
  <si>
    <t>Endpoint de répartition des recommandés d'une Église par statut de pré-inscription</t>
  </si>
  <si>
    <t>API-308</t>
  </si>
  <si>
    <t>Endpoint de calcul de la complétude des pièces par dossier</t>
  </si>
  <si>
    <t>API-309</t>
  </si>
  <si>
    <t>Endpoint de croisement Église × complétude des pièces</t>
  </si>
  <si>
    <t>API-310</t>
  </si>
  <si>
    <t>Endpoint de liste des pièces manquantes par dossier</t>
  </si>
  <si>
    <t>API-311</t>
  </si>
  <si>
    <t>Endpoint de contrôle de l'Église recommandatrice avant validation</t>
  </si>
  <si>
    <t>API-312</t>
  </si>
  <si>
    <t>Endpoint de validation de la recommandation et génération automatique du compte d'accès étudiant</t>
  </si>
  <si>
    <t>API-313</t>
  </si>
  <si>
    <t>Endpoint de liste des étudiants en Matière Stage avec statut du journal</t>
  </si>
  <si>
    <t>API-314</t>
  </si>
  <si>
    <t>Endpoint de liste des étudiants en Matière Soutenance avec session prévue</t>
  </si>
  <si>
    <t>API-315</t>
  </si>
  <si>
    <t>Endpoint d'agrégation croisée niveau/promotion/Église pour le tableau de bord Direction</t>
  </si>
  <si>
    <t>API-316</t>
  </si>
  <si>
    <t>Endpoint de répartition des recommandés d'une Église par niveau</t>
  </si>
  <si>
    <t>User stories — Enseignant et Étudiant</t>
  </si>
  <si>
    <t>28 stories : 5 reprises et affinées, 23 nouvelles. Estimations proposées, sans déclaration de réalisation. Les captures décrivent le besoin, pas l’état de l’API.</t>
  </si>
  <si>
    <t>Profil</t>
  </si>
  <si>
    <t>Fonctionnalité</t>
  </si>
  <si>
    <t>Critères d’acceptation</t>
  </si>
  <si>
    <t>Priorité</t>
  </si>
  <si>
    <t>Points estimés</t>
  </si>
  <si>
    <t>Périmètre proposé</t>
  </si>
  <si>
    <t>Dépendances</t>
  </si>
  <si>
    <t>Sources</t>
  </si>
  <si>
    <t>Lien au Scrum 3</t>
  </si>
  <si>
    <t>US-086</t>
  </si>
  <si>
    <t>Mes cours et détails matière</t>
  </si>
  <si>
    <t>En tant que enseignant, je veux consulter mes matières, modules et cours affectés par année et niveau, afin de préparer mes enseignements.</t>
  </si>
  <si>
    <t>Étant donné une affectation sur une matière entière ou certains cours, quand je consulte Mes cours, alors seuls les cours autorisés sont retournés, y compris par accès direct API.
Quand je déplie une matière, alors le code, la promotion, le niveau, le volume horaire, les coefficients, les effectifs et les modules sont affichés sans doubler les étudiants inscrits à plusieurs cours.
Quand aucune séance n’est planifiée, alors un état explicite est affiché ; les séances réalisées et planifiées sont distinguées.</t>
  </si>
  <si>
    <t>Sprint 4 — proposé</t>
  </si>
  <si>
    <t>Affectations pédagogiques et programme disponibles</t>
  </si>
  <si>
    <t>Images 1–3, 19</t>
  </si>
  <si>
    <t>Nouvelle story</t>
  </si>
  <si>
    <t>Proposé — à valider en Planning</t>
  </si>
  <si>
    <t>US-087</t>
  </si>
  <si>
    <t>Séances d’un cours</t>
  </si>
  <si>
    <t>En tant que enseignant, je veux consulter les séances datées d’un cours et leur état de présence, afin de identifier les appels restant à effectuer.</t>
  </si>
  <si>
    <t>Quand je sélectionne un cours affecté, alors ses séances affichent date, horaires, salle, contenu et statut de réalisation.
Étant donné une séance réalisée sans feuille validée, quand je consulte son détail, alors Relever ouvre cette séance ; une feuille validée est consultable sans modification.</t>
  </si>
  <si>
    <t>US-086 ; séances existantes</t>
  </si>
  <si>
    <t>Images 4</t>
  </si>
  <si>
    <t>US-088</t>
  </si>
  <si>
    <t>Préparer la liste de présence</t>
  </si>
  <si>
    <t>En tant que enseignant, je veux marquer présents ou absents les étudiants inscrits à une séance, afin de fiabiliser l’appel avant validation.</t>
  </si>
  <si>
    <t>Quand je choisis matière, module, cours puis séance, alors chaque sélection filtre la suivante et la liste contient uniquement les inscrits de cette séance.
Quand je change un statut avant validation, alors le compteur présents/inscrits et les absents sont actualisés sans clôturer la feuille.
Quand un identifiant d’étudiant non inscrit ou une séance non affectée est envoyé, alors le serveur refuse la saisie.</t>
  </si>
  <si>
    <t>US-087 ; inscriptions aux cours</t>
  </si>
  <si>
    <t>Images 5, 7</t>
  </si>
  <si>
    <t>Étudiants en rattrapage</t>
  </si>
  <si>
    <t>En tant que enseignant, je veux identifier les étudiants en rattrapage dans mes cours et listes de présence, afin de les prendre en compte avec la promotion titulaire.</t>
  </si>
  <si>
    <t>Étant donné un étudiant inscrit par le secrétariat à un rattrapage, quand je consulte le cours concerné, alors il apparaît une seule fois avec un indicateur Rattrapage et sa promotion d’origine.
Quand je consulte un autre cours sans inscription de rattrapage, alors cet étudiant n’est pas ajouté à son effectif.</t>
  </si>
  <si>
    <t>US-060 ; US-088</t>
  </si>
  <si>
    <t>Images 1, 3, 5</t>
  </si>
  <si>
    <t>Affinage de la story existante ; pas une nouvelle US</t>
  </si>
  <si>
    <t>US-089</t>
  </si>
  <si>
    <t>Valider définitivement la présence</t>
  </si>
  <si>
    <t>En tant que enseignant, je veux confirmer définitivement une feuille de présence, afin de clôturer l’appel et déterminer l’éligibilité aux notes.</t>
  </si>
  <si>
    <t>Quand je demande la validation, alors une confirmation indique le nombre de présents et d’absents et les conséquences ; annuler conserve la feuille modifiable.
Quand je confirme une feuille complète d’une séance réalisée, alors la validation est atomique et journalise l’auteur et la date ; toute modification ultérieure est refusée par le serveur.
Quand un absent est confirmé, alors le cours est marqué à faire pour cet étudiant et la notation est bloquée ; une répétition de la requête ne crée pas de doublon.
Quand tous sont présents, alors aucun cours à faire lié à cette absence n’est créé. Les règles multi-séances doivent être arbitrées avant développement.</t>
  </si>
  <si>
    <t>US-088 ; décision D-01</t>
  </si>
  <si>
    <t>Images 5–7</t>
  </si>
  <si>
    <t>US-090</t>
  </si>
  <si>
    <t>Emploi du temps enseignant</t>
  </si>
  <si>
    <t>En tant que enseignant, je veux consulter mes créneaux hebdomadaires publiés, afin de organiser mes interventions.</t>
  </si>
  <si>
    <t>Étant donné une version publiée, quand je consulte mon emploi du temps, alors seuls mes créneaux affichent jour, horaires, cours, promotion, salle et version.
Quand aucun planning n’est publié, alors un état indisponible est affiché ; les brouillons ne sont pas exposés.
Quand je consulte un créneau récurrent, alors il reste distinct des séances datées du cahier de texte.</t>
  </si>
  <si>
    <t>Planning publié et affectations</t>
  </si>
  <si>
    <t>Images 8</t>
  </si>
  <si>
    <t>US-091</t>
  </si>
  <si>
    <t>Profil et affectations</t>
  </si>
  <si>
    <t>En tant que enseignant, je veux consulter mon identité professionnelle et mes affectations en vigueur, afin de vérifier mon dossier pédagogique.</t>
  </si>
  <si>
    <t>Quand j’ouvre mon profil, alors identité, matricule interne, fonction, ancienneté, contact et qualifications proviennent de mon dossier.
Quand une affectation est affichée, alors matière entière ou cours précis est indiqué ; je ne peux modifier ni mon affectation ni celle d’un autre enseignant.</t>
  </si>
  <si>
    <t>Suite du backlog — non engagée</t>
  </si>
  <si>
    <t>Dossier personnel et affectations</t>
  </si>
  <si>
    <t>Images 19</t>
  </si>
  <si>
    <t>US-092</t>
  </si>
  <si>
    <t>Cahier de texte</t>
  </si>
  <si>
    <t>En tant que enseignant, je veux consigner le contenu d’une séance dispensée, afin de tracer l’avancement pédagogique.</t>
  </si>
  <si>
    <t>Étant donné une séance affectée, quand je renseigne le contenu réalisé et l’enregistre, alors le journal conserve auteur et date et le cours affiche la réalisation.
Quand les champs obligatoires sont absents ou la séance appartient à un autre enseignant, alors l’enregistrement est refusé.
Le passage à Réalisée ne valide pas automatiquement la présence. Champs et possibilité de correction à confirmer faute de capture dédiée.</t>
  </si>
  <si>
    <t>Séances planifiées ; décision D-06</t>
  </si>
  <si>
    <t>Images Menu image 2 ; image 4</t>
  </si>
  <si>
    <t>US-093</t>
  </si>
  <si>
    <t>Saisir les notes éligibles</t>
  </si>
  <si>
    <t>En tant que enseignant, je veux saisir les notes sur 20 des étudiants autorisés après validation des présences, afin de évaluer les cours suivis.</t>
  </si>
  <si>
    <t>Étant donné une séance dispensée dont la feuille n’est pas validée, quand une note est envoyée, alors le serveur refuse et indique la présence à relever.
Quand toutes les présences requises sont validées, alors seuls les étudiants éligibles peuvent recevoir une note ; un absent exclu ne reçoit ni note ni zéro automatique.
Quand une note numérique entre 0 et 20 est enregistrée, alors elle reste provisoire ; les valeurs hors bornes sont rejetées et une feuille verrouillée est non modifiable.</t>
  </si>
  <si>
    <t>US-089 ; D-01 ; contrat de notes</t>
  </si>
  <si>
    <t>Images 9–10</t>
  </si>
  <si>
    <t>US-094</t>
  </si>
  <si>
    <t>Moyenne provisoire de matière</t>
  </si>
  <si>
    <t>En tant que enseignant, je veux voir la moyenne recalculée après saisie des notes de cours, afin de contrôler le résultat avant transmission.</t>
  </si>
  <si>
    <t>Quand une note de cours éligible change, alors la moyenne de matière est recalculée selon les coefficients de cours applicables et reste provisoire.
Quand des cours restent à faire, alors ils ne deviennent pas des zéros ; la moyenne est signalée partielle et ne valide pas automatiquement la matière.
Quand aucune note éligible n’existe, alors aucune division par zéro n’est effectuée ; pondération et arrondis sont confirmés par D-02.</t>
  </si>
  <si>
    <t>US-093 ; D-02</t>
  </si>
  <si>
    <t>US-095</t>
  </si>
  <si>
    <t>Transmettre et suivre la feuille de notes</t>
  </si>
  <si>
    <t>En tant que enseignant, je veux transmettre une feuille complète au secrétariat et suivre sa validation, afin de obtenir une publication officielle.</t>
  </si>
  <si>
    <t>Quand un étudiant éligible n’a pas de note ou qu’un appel requis manque, alors la transmission est refusée côté serveur.
Quand je transmets une feuille complète, alors elle passe au contrôle du secrétariat et je vois ensuite la transmission à la Direction puis la validation et le verrouillage.
Quand un enseignant tente de valider au nom de la Direction, alors l’action est refusée ; le circuit de retour pour correction doit être défini.</t>
  </si>
  <si>
    <t>US-093–094 ; workflow Secrétariat/Direction</t>
  </si>
  <si>
    <t>US-096</t>
  </si>
  <si>
    <t>Demander une correction de note</t>
  </si>
  <si>
    <t>En tant que enseignant, je veux proposer une correction motivée d’une note publiée, afin de faire rectifier une erreur sans modifier directement une note verrouillée.</t>
  </si>
  <si>
    <t>Quand je sélectionne une note publiée de mon cours, alors la valeur actuelle est affichée et la note proposée entre 0 et 20 ainsi que le motif sont obligatoires.
Quand je transmets, alors une demande En attente autorisation est créée ; la note officielle reste inchangée avant autorisation et application.
Quand je tente de corriger la note d’un cours non affecté, alors le serveur refuse.</t>
  </si>
  <si>
    <t>Notes publiées ; workflow Direction/Secrétariat</t>
  </si>
  <si>
    <t>Images 11–12, 14</t>
  </si>
  <si>
    <t>US-097</t>
  </si>
  <si>
    <t>Suivre la traçabilité des corrections</t>
  </si>
  <si>
    <t>En tant que enseignant, je veux consulter le détail et l’historique de mes demandes, afin de connaître la décision et la version officielle résultante.</t>
  </si>
  <si>
    <t>Quand je recherche un étudiant, une matière ou un cours, alors les demandes accessibles sont filtrées et paginées.
Quand j’ouvre une demande, alors note initiale, proposée ou définitive, motif, auteur et dates des étapes sont affichés.
Quand une correction est appliquée, alors l’historique conserve la décision Direction, l’application Secrétariat et la régénération du bulletin ; l’ancienne version reste archivée.</t>
  </si>
  <si>
    <t>US-096 ; audit et bulletins versionnés</t>
  </si>
  <si>
    <t>Images 11, 13–14</t>
  </si>
  <si>
    <t>US-098</t>
  </si>
  <si>
    <t>Consulter la bibliothèque et le quota</t>
  </si>
  <si>
    <t>En tant que enseignant, je veux retrouver mes supports par matière, module et cours et voir mon stockage, afin de gérer mes ressources pédagogiques.</t>
  </si>
  <si>
    <t>Quand j’ouvre la bibliothèque, alors les supports de mes cours sont classés et affichent type, taille, format, version courante, date et note de version.
Quand les fichiers sont comptabilisés, alors les versions archivées sont incluses dans l’espace utilisé et disponible ; le quota provient de l’administration.
Quand je télécharge un support hors de mon périmètre, alors l’accès direct est refusé.</t>
  </si>
  <si>
    <t>Affectations ; stockage sécurisé</t>
  </si>
  <si>
    <t>Images 15</t>
  </si>
  <si>
    <t>US-099</t>
  </si>
  <si>
    <t>Déposer un support</t>
  </si>
  <si>
    <t>En tant que enseignant, je veux déposer un document pour un de mes cours, afin de le mettre à disposition des étudiants autorisés.</t>
  </si>
  <si>
    <t>Quand je fournis matière, module, cours, fichier, nom et type, alors le support est enregistré en version 1 avec une note facultative.
Quand le fichier dépasse le quota restant ou viole les formats et tailles autorisés, alors le serveur refuse sans créer de support partiel.
Quand le dépôt réussit, alors il devient accessible selon les droits du cours ; les valeurs 600 Mo et les formats des maquettes ne sont pas des constantes imposées.</t>
  </si>
  <si>
    <t>US-098 ; D-03</t>
  </si>
  <si>
    <t>Images 15–16</t>
  </si>
  <si>
    <t>US-100</t>
  </si>
  <si>
    <t>Publier une nouvelle version</t>
  </si>
  <si>
    <t>En tant que enseignant, je veux ajouter une nouvelle version d’un support avec une description des changements, afin de actualiser le contenu sans perdre l’historique.</t>
  </si>
  <si>
    <t>Quand je fournis un fichier valide et le changement obligatoire, alors une nouvelle version séquentielle devient courante et l’ancienne reste téléchargeable.
Quand le quota est dépassé ou deux publications sont concurrentes, alors aucune version n’est écrasée et les numéros restent uniques.</t>
  </si>
  <si>
    <t>Images 17–18</t>
  </si>
  <si>
    <t>US-101</t>
  </si>
  <si>
    <t>Historique et republication des supports</t>
  </si>
  <si>
    <t>En tant que enseignant, je veux télécharger les versions précédentes et en republier une, afin de restaurer un contenu en conservant la trace des changements.</t>
  </si>
  <si>
    <t>Quand j’ouvre l’historique, alors les versions sont classées de la plus récente à la plus ancienne avec auteur, date, taille et commentaire.
Quand je republie une archive, alors elle devient une nouvelle version courante sans suppression des autres et son espace est décompté du quota.
Quand le quota est insuffisant, alors la republication est refusée.</t>
  </si>
  <si>
    <t>Images 18</t>
  </si>
  <si>
    <t>Accès personnel au portail</t>
  </si>
  <si>
    <t>En tant que étudiant, je veux accéder à mon espace sur ordinateur et téléphone, afin de consulter mes informations en toute confidentialité.</t>
  </si>
  <si>
    <t>Quand je suis authentifié comme étudiant actif, alors les écrans utilisent mon dossier et mon identité ; un accès non authentifié est refusé.
Quand je modifie un identifiant dans une URL ou une requête, alors les données et fichiers d’un autre étudiant restent inaccessibles.
Quand j’utilise un écran étroit, alors la navigation et les tableaux restent exploitables.</t>
  </si>
  <si>
    <t>Authentification existante ; compte lié au dossier</t>
  </si>
  <si>
    <t>Images 20–30</t>
  </si>
  <si>
    <t>Mes matières</t>
  </si>
  <si>
    <t>En tant que étudiant, je veux consulter et rechercher les matières de mon cursus avec leurs résultats, afin de connaître mon programme et les éléments restant à valider.</t>
  </si>
  <si>
    <t>Quand je consulte mes matières, alors le code, le niveau, le coefficient, le statut et la note accessible sont affichés.
Quand je recherche par code ou libellé ou filtre par statut, alors la liste est réduite aux correspondances de mon cursus.
Quand une matière est incomplète, alors la note est partielle ; une matière non commencée affiche une absence de note et non un zéro.</t>
  </si>
  <si>
    <t>US-064 ; résultats et programme</t>
  </si>
  <si>
    <t>Images 20, 22</t>
  </si>
  <si>
    <t>Mes cours à faire</t>
  </si>
  <si>
    <t>En tant que étudiant, je veux consulter mes cours à rattraper et leur planification, afin de préparer les sessions qui me permettront de compléter mes matières.</t>
  </si>
  <si>
    <t>Quand je consulte la liste, alors chaque cours restant affiche matière, niveau, type d’évaluation et statut de rattrapage.
Quand aucun rattrapage n’est planifié, alors le message le précise ; quand le secrétariat m’inscrit à une session, alors ses informations deviennent visibles.
Quand un cours est rattrapé selon les règles validées, alors la liste est actualisée sans effacer son historique.</t>
  </si>
  <si>
    <t>US-064 ; US-060 ; US-089</t>
  </si>
  <si>
    <t>Images 20, 23</t>
  </si>
  <si>
    <t>Ma progression</t>
  </si>
  <si>
    <t>En tant que étudiant, je veux voir ma progression globale et par niveau vers le diplôme, afin de identifier les validations manquantes.</t>
  </si>
  <si>
    <t>Quand mes validations sont chargées, alors la progression est le nombre de matières validées divisé par le total du cursus, avec détail par niveau.
Quand le cursus comprend stage et soutenance, alors ces matières comptent dans le total ; une moyenne partielle ne vaut pas validation.
Quand le cursus est vide, alors aucun pourcentage trompeur ni division par zéro n’est affiché ; atteindre 100 % ne délivre pas automatiquement le diplôme.</t>
  </si>
  <si>
    <t>US-065 ; validations officielles</t>
  </si>
  <si>
    <t>Images 20, 24</t>
  </si>
  <si>
    <t>US-102</t>
  </si>
  <si>
    <t>Tableau de bord étudiant</t>
  </si>
  <si>
    <t>En tant que étudiant, je veux voir une synthèse de ma scolarité et les actions en attente, afin de accéder rapidement aux éléments prioritaires.</t>
  </si>
  <si>
    <t>Quand j’ouvre le tableau de bord, alors mon niveau, ma promotion, les matières validées, les cours à rattraper et la progression concordent avec les pages détaillées.
Quand les résultats ou le rang ne sont pas disponibles, alors ils ne sont pas inventés ; moyenne, rang et population de classement suivent D-02.
Quand une inscription attend un paiement, alors son montant et sa date limite proviennent du dossier et le lien mène à Mon inscription.</t>
  </si>
  <si>
    <t>US-058, US-065, US-066, US-105 ; D-02</t>
  </si>
  <si>
    <t>Images 20</t>
  </si>
  <si>
    <t>US-103</t>
  </si>
  <si>
    <t>Emploi du temps étudiant</t>
  </si>
  <si>
    <t>En tant que étudiant, je veux consulter le planning publié qui me concerne, afin de organiser ma présence aux cours.</t>
  </si>
  <si>
    <t>Quand un planning est publié pour ma promotion et mon niveau, alors ses créneaux affichent jour, horaires, matière, cours et salle.
Quand aucune version n’est publiée, alors Emploi du temps non disponible est affiché sans exposer les brouillons.
Quand une inscription de rattrapage me concerne, alors son créneau est distingué et ne donne pas accès à toute l’autre promotion.</t>
  </si>
  <si>
    <t>US-064 ; planning publié ; US-060</t>
  </si>
  <si>
    <t>Images 25 ; référence structure image 8</t>
  </si>
  <si>
    <t>US-104</t>
  </si>
  <si>
    <t>Mes bulletins annuels</t>
  </si>
  <si>
    <t>En tant que étudiant, je veux consulter mes bulletins et télécharger leurs versions officielles, afin de disposer de résultats authentifiables.</t>
  </si>
  <si>
    <t>Quand l’année est en cours ou les notes non validées, alors le bulletin est marqué partiel et son téléchargement officiel est refusé côté serveur.
Quand l’année est clôturée et les notes validées par la Direction avec bulletin publié, alors le PDF officiel de mon dossier est téléchargeable et porte une vérification QR.
Quand une correction génère une nouvelle version, alors celle-ci fait foi ; la précédente reste archivée et le motif est consultable selon mes droits.</t>
  </si>
  <si>
    <t>Workflow notes ; clôture annuelle ; PDF et QR</t>
  </si>
  <si>
    <t>Images 26</t>
  </si>
  <si>
    <t>US-105</t>
  </si>
  <si>
    <t>Mon inscription</t>
  </si>
  <si>
    <t>En tant que étudiant, je veux consulter les étapes de mon inscription et les frais appelés, afin de savoir ce qui reste à finaliser.</t>
  </si>
  <si>
    <t>Quand j’ouvre Mon inscription, alors année, niveau, promotion, étapes dossier/frais/confirmation/règlement et état courant proviennent de mon dossier.
Quand je choisis Régler plus tard, alors l’inscription reste en attente de règlement sans encaissement fictif.
Les champs et validations des trois premières étapes sont à confirmer : seules les captures du règlement sont fournies.</t>
  </si>
  <si>
    <t>Inscription existante ; frais paramétrés</t>
  </si>
  <si>
    <t>Images 21, 27</t>
  </si>
  <si>
    <t>US-106</t>
  </si>
  <si>
    <t>Régler mes frais</t>
  </si>
  <si>
    <t>En tant que étudiant, je veux payer les frais appelés avec un moyen disponible, afin de finaliser mon règlement à distance.</t>
  </si>
  <si>
    <t>Quand aucun moyen n’est choisi, alors le bouton Payer est désactivé ; le montant est calculé et vérifié par le serveur.
Quand le prestataire confirme de façon vérifiée un paiement réussi, alors un seul encaissement est enregistré même si la notification est répétée.
Quand le paiement échoue, est annulé ou reste en attente, alors aucun statut Payé n’est attribué ; seuls les moyens réellement configurés sont proposés.</t>
  </si>
  <si>
    <t>US-105 ; prestataire, accès de test et D-04</t>
  </si>
  <si>
    <t>US-107</t>
  </si>
  <si>
    <t>Suivi financier</t>
  </si>
  <si>
    <t>En tant que étudiant, je veux consulter mes frais, échéances et paiements par année, afin de connaître mon solde et mes prochaines obligations.</t>
  </si>
  <si>
    <t>Quand je consulte une année, alors total appelé, montant payé, solde et taux de recouvrement sont cohérents avec les paiements confirmés.
Quand je recherche une échéance, une référence ou un mode de paiement, alors les listes sont filtrées et paginées avec montants, dates et statuts.
Quand aucun frais n’est appelé, alors le taux est indiqué non applicable ; un paiement en attente n’est pas compté comme encaissé.</t>
  </si>
  <si>
    <t>Frais et encaissements disponibles ; D-04</t>
  </si>
  <si>
    <t>Images 28</t>
  </si>
  <si>
    <t>US-108</t>
  </si>
  <si>
    <t>Supports de cours</t>
  </si>
  <si>
    <t>En tant que étudiant, je veux consulter et télécharger les supports et leurs versions autorisées, afin de étudier les contenus mis à disposition par mes enseignants.</t>
  </si>
  <si>
    <t>Quand je consulte les supports, alors ils sont classés par matière, module et cours avec enseignant, type, format, taille, date et version ; je peux rechercher une matière.
Quand un cours est ouvert selon mon inscription et mes droits, alors ses documents et versions sont téléchargeables ; un cours futur ou manqué non réinscrit reste fermé selon D-03.
Quand je tente un téléchargement direct hors de mes droits ou une publication de version, alors le serveur refuse ; je ne peux pas republier comme un enseignant.</t>
  </si>
  <si>
    <t>US-099–101 ; US-064 ; D-03</t>
  </si>
  <si>
    <t>Images 29–30</t>
  </si>
  <si>
    <t>Sprint 4 — proposition de planification</t>
  </si>
  <si>
    <t>Document de travail fondé sur Scrum 3 et les 30 captures du 08/09/2026. Le classeur source reste inchangé.</t>
  </si>
  <si>
    <t>Sujet</t>
  </si>
  <si>
    <t>Proposition</t>
  </si>
  <si>
    <t>Conditions / limites</t>
  </si>
  <si>
    <t>Objectif</t>
  </si>
  <si>
    <t>Livrer un parcours démontrable : cours → appel → cours à faire → consultation étudiant.</t>
  </si>
  <si>
    <t>Dates</t>
  </si>
  <si>
    <t>21/09/2026 au 02/10/2026 — 10 jours ouvrés</t>
  </si>
  <si>
    <t>Hypothèse dans la continuité du Sprint 3 annoncé du 07/09 au 18/09 ; les dates de tâches du Scrum 3 sont incohérentes et ne sont pas reprises.</t>
  </si>
  <si>
    <t>Périmètre</t>
  </si>
  <si>
    <t>11 stories / 42 points proposés</t>
  </si>
  <si>
    <t>Les autres stories sont définies dans le backlog mais ne sont pas engagées dans ce sprint.</t>
  </si>
  <si>
    <t>Charge Frontend</t>
  </si>
  <si>
    <t>47 h : 43 h de stories + 4 h intégration/recette</t>
  </si>
  <si>
    <t>M. KOUASSI proposé d’après Scrum 3 ; disponibilité à confirmer.</t>
  </si>
  <si>
    <t>Charge API</t>
  </si>
  <si>
    <t>60 h : 56 h de stories + 4 h intégration/recette</t>
  </si>
  <si>
    <t>ZRAN proposé d’après Scrum 3 ; disponibilité à confirmer.</t>
  </si>
  <si>
    <t>Capacité</t>
  </si>
  <si>
    <t>Hypothèse : 2 intervenants × 10 jours × 6 h utiles = 120 h</t>
  </si>
  <si>
    <t>Budget cible : 60 h par intervenant. API : aucune marge dans cette hypothèse ; retirer ou réduire une story si la disponibilité baisse. Les story points ne sont pas des heures.</t>
  </si>
  <si>
    <t>Prérequis</t>
  </si>
  <si>
    <t>Authentification, programme, affectations, inscriptions aux cours et planning publié accessibles via API</t>
  </si>
  <si>
    <t>Le cahier de texte et la création du planning ne sont pas développés dans ce lot : séances et planning doivent déjà être fournis. Replanifier sinon.</t>
  </si>
  <si>
    <t>Condition bloquante</t>
  </si>
  <si>
    <t>Arbitrer D-01 avant de développer US-089</t>
  </si>
  <si>
    <t>La règle « une absence rend tout le cours à faire » doit être précisée pour les cours comportant plusieurs séances.</t>
  </si>
  <si>
    <t>Suite prioritaire</t>
  </si>
  <si>
    <t>Notes et validation ; bibliothèque et supports ; bulletins ; inscription/paiement et finances</t>
  </si>
  <si>
    <t>Ordre proposé. Un périmètre complet de toutes les captures nécessite plusieurs sprints ou une capacité accrue.</t>
  </si>
  <si>
    <t>Menus non détaillés</t>
  </si>
  <si>
    <t>Tableau de bord enseignant, journal de stage, ma soutenance, notifications et réglages de profil</t>
  </si>
  <si>
    <t>Visibles uniquement dans les menus ; aucune fonctionnalité détaillée ni engagement de livraison n’est inventé. Le cahier de texte a une story provisoire US-092.</t>
  </si>
  <si>
    <t>Définition de prêt</t>
  </si>
  <si>
    <t>Règles arbitrées, sources identifiées, contrats API convenus, données de recette disponibles et estimation revue</t>
  </si>
  <si>
    <t>Aucune story ne devient prête automatiquement par la présence d’une capture.</t>
  </si>
  <si>
    <t>Définition de terminé</t>
  </si>
  <si>
    <t>Critères d’acceptation satisfaits ; tests API et parcours UI réussis ; contrôle des droits ; documentation API à jour ; revue et démonstration sur environnement de recette</t>
  </si>
  <si>
    <t>Tester les accès directs, les données vides, les erreurs de validation et les doubles requêtes de présence.</t>
  </si>
  <si>
    <t>Points quotidiens sur le reste à faire ; intégration continue au fil des stories ; revue et rétrospective J10</t>
  </si>
  <si>
    <t>Toutes les tâches démarrent À faire. Aucun état de réalisation du Scrum 3 n’est présumé.</t>
  </si>
  <si>
    <t>Données de maquette</t>
  </si>
  <si>
    <t>Années, noms, montants, rangs, effectifs et quota sont des exemples</t>
  </si>
  <si>
    <t>Ne pas coder 200 000 FCFA, 600 Mo, 13 matières, 4 niveaux ou les identités visibles comme constantes métier.</t>
  </si>
  <si>
    <t>Conservation du Scrum 3</t>
  </si>
  <si>
    <t>Toutes les feuilles originales sont conservées comme référence historique</t>
  </si>
  <si>
    <t>Le plan Sprint 4 et les affinages font foi uniquement après validation du Planning ; aucun déploiement applicatif n’est réalisé.</t>
  </si>
  <si>
    <t>Sprint 4 — stories sélectionnées</t>
  </si>
  <si>
    <t>US</t>
  </si>
  <si>
    <t>Livrable</t>
  </si>
  <si>
    <t>Frontend (h)</t>
  </si>
  <si>
    <t>API (h)</t>
  </si>
  <si>
    <t>Sprint Backlog — Sprint 4 Frontend</t>
  </si>
  <si>
    <t>Dates, responsables et charges prévisionnels. Tâches ≤ 8 h ; séquencement à revoir en Planning. Frontend : contrat et mocks partagés avant intégration réelle.</t>
  </si>
  <si>
    <t>Début prévu</t>
  </si>
  <si>
    <t>Fin prévue</t>
  </si>
  <si>
    <t>Reste (h)</t>
  </si>
  <si>
    <t>T-401</t>
  </si>
  <si>
    <t>Écran et branchement API : Mes cours et détails matière ; états vide/erreur et vérification des critères</t>
  </si>
  <si>
    <t>M. KOUASSI (proposé)</t>
  </si>
  <si>
    <t>T-402</t>
  </si>
  <si>
    <t>Écran et branchement API : Séances d’un cours ; états vide/erreur et vérification des critères</t>
  </si>
  <si>
    <t>22/09/2026</t>
  </si>
  <si>
    <t>T-403</t>
  </si>
  <si>
    <t>Écran et branchement API : Préparer la liste de présence ; états vide/erreur et vérification des critères</t>
  </si>
  <si>
    <t>23/09/2026</t>
  </si>
  <si>
    <t>T-404</t>
  </si>
  <si>
    <t>Écran et branchement API : Étudiants en rattrapage ; états vide/erreur et vérification des critères</t>
  </si>
  <si>
    <t>T-405</t>
  </si>
  <si>
    <t>Écran et branchement API : Valider définitivement la présence ; états vide/erreur et vérification des critères</t>
  </si>
  <si>
    <t>24/09/2026</t>
  </si>
  <si>
    <t>T-406</t>
  </si>
  <si>
    <t>Écran et branchement API : Emploi du temps enseignant ; états vide/erreur et vérification des critères</t>
  </si>
  <si>
    <t>25/09/2026</t>
  </si>
  <si>
    <t>T-407</t>
  </si>
  <si>
    <t>Écran et branchement API : Accès personnel au portail ; états vide/erreur et vérification des critères</t>
  </si>
  <si>
    <t>T-408</t>
  </si>
  <si>
    <t>Écran et branchement API : Mes matières ; états vide/erreur et vérification des critères</t>
  </si>
  <si>
    <t>28/09/2026</t>
  </si>
  <si>
    <t>T-409</t>
  </si>
  <si>
    <t>Écran et branchement API : Mes cours à faire ; états vide/erreur et vérification des critères</t>
  </si>
  <si>
    <t>29/09/2026</t>
  </si>
  <si>
    <t>T-410</t>
  </si>
  <si>
    <t>Écran et branchement API : Ma progression ; états vide/erreur et vérification des critères</t>
  </si>
  <si>
    <t>T-411</t>
  </si>
  <si>
    <t>Écran et branchement API : Emploi du temps étudiant ; états vide/erreur et vérification des critères</t>
  </si>
  <si>
    <t>30/09/2026</t>
  </si>
  <si>
    <t>T-412</t>
  </si>
  <si>
    <t>Enseignant / Étudiant</t>
  </si>
  <si>
    <t>Intégration des parcours croisés, contrôle des données et des erreurs</t>
  </si>
  <si>
    <t>01/10/2026</t>
  </si>
  <si>
    <t>Stories sélectionnées ; recette commune</t>
  </si>
  <si>
    <t>T-413</t>
  </si>
  <si>
    <t>Recette finale, documentation, démonstration et corrections prioritaires</t>
  </si>
  <si>
    <t>Sprint Backlog — Sprint 4 API</t>
  </si>
  <si>
    <t>API-401</t>
  </si>
  <si>
    <t>Contrat et traitement API : Mes cours et détails matière ; droits, validations et tests des critères</t>
  </si>
  <si>
    <t>ZRAN (proposé)</t>
  </si>
  <si>
    <t>API-402</t>
  </si>
  <si>
    <t>Contrat et traitement API : Séances d’un cours ; droits, validations et tests des critères</t>
  </si>
  <si>
    <t>API-403</t>
  </si>
  <si>
    <t>Contrat et traitement API : Préparer la liste de présence ; droits, validations et tests des critères</t>
  </si>
  <si>
    <t>API-404</t>
  </si>
  <si>
    <t>Contrat et traitement API : Étudiants en rattrapage ; droits, validations et tests des critères</t>
  </si>
  <si>
    <t>API-405</t>
  </si>
  <si>
    <t>Contrat et traitement API : Valider définitivement la présence ; droits, validations et tests des critères</t>
  </si>
  <si>
    <t>API-406</t>
  </si>
  <si>
    <t>Contrat et traitement API : Emploi du temps enseignant ; droits, validations et tests des critères</t>
  </si>
  <si>
    <t>API-407</t>
  </si>
  <si>
    <t>Contrat et traitement API : Accès personnel au portail ; droits, validations et tests des critères</t>
  </si>
  <si>
    <t>API-408</t>
  </si>
  <si>
    <t>Contrat et traitement API : Mes matières ; droits, validations et tests des critères</t>
  </si>
  <si>
    <t>API-409</t>
  </si>
  <si>
    <t>Contrat et traitement API : Mes cours à faire ; droits, validations et tests des critères</t>
  </si>
  <si>
    <t>API-410</t>
  </si>
  <si>
    <t>Contrat et traitement API : Ma progression ; droits, validations et tests des critères</t>
  </si>
  <si>
    <t>API-411</t>
  </si>
  <si>
    <t>Contrat et traitement API : Emploi du temps étudiant ; droits, validations et tests des critères</t>
  </si>
  <si>
    <t>API-412</t>
  </si>
  <si>
    <t>API-413</t>
  </si>
  <si>
    <t>Décisions métier et dépendances</t>
  </si>
  <si>
    <t>Les formulations affichées dans les maquettes sont des sources de spécification. Les points ci-dessous évitent de transformer une ambiguïté en règle définitive.</t>
  </si>
  <si>
    <t>Point à arbitrer</t>
  </si>
  <si>
    <t>Proposition de travail / observation</t>
  </si>
  <si>
    <t>Stories concernées</t>
  </si>
  <si>
    <t>Impact</t>
  </si>
  <si>
    <t>D-01</t>
  </si>
  <si>
    <t>Absence, multi-séances et clôture</t>
  </si>
  <si>
    <t>Les captures indiquent qu’un absent passe en cours à faire et ne peut être noté. Préciser si une seule absence suffit, les absences justifiées, la régularisation après validation et le devenir d’une note provisoire déjà saisie. Ne pas effacer une note existante sans règle validée.</t>
  </si>
  <si>
    <t>US-089, US-093, US-066</t>
  </si>
  <si>
    <t>Bloque la validation définitive de présence du Sprint 4.</t>
  </si>
  <si>
    <t>D-02</t>
  </si>
  <si>
    <t>Calculs et visibilité des résultats</t>
  </si>
  <si>
    <t>Confirmer coefficients cours/matière, arrondis, seuils, publication des notes provisoires, définition du rang et gestion des ex æquo. Une matière incomplète ne doit pas être validée par sa seule moyenne partielle.</t>
  </si>
  <si>
    <t>US-094, US-102, US-065, US-058</t>
  </si>
  <si>
    <t>Bloque les nouveaux calculs ; utiliser les résultats autorisés existants pour les vues S4.</t>
  </si>
  <si>
    <t>D-03</t>
  </si>
  <si>
    <t>Accès aux supports et stockage</t>
  </si>
  <si>
    <t>Définir ouverture d’un cours, maintien d’accès aux cours validés et rattrapages ; formats et tailles autorisés ; quota par enseignant. Les archives consomment aussi le quota.</t>
  </si>
  <si>
    <t>US-098–101, US-108</t>
  </si>
  <si>
    <t>Prérequis bibliothèque.</t>
  </si>
  <si>
    <t>D-04</t>
  </si>
  <si>
    <t>Paiement et comptabilité</t>
  </si>
  <si>
    <t>Choisir prestataire, moyens effectivement disponibles, environnement de test et règles de reçu/rapprochement. Distinguer inscription annuelle et pré-inscription ; ne pas réutiliser les encaissements deux fois.</t>
  </si>
  <si>
    <t>US-105–107</t>
  </si>
  <si>
    <t>Prérequis paiement ; aucun prestataire présumé intégré.</t>
  </si>
  <si>
    <t>D-05</t>
  </si>
  <si>
    <t>Capacité et interfaces existantes</t>
  </si>
  <si>
    <t>Confirmer disponibilité de M. KOUASSI et ZRAN, existence des APIs de planning, affectations, séances et inscriptions de rattrapage. Vérifier les contrats avant estimation définitive.</t>
  </si>
  <si>
    <t>Toutes les stories du Sprint 4</t>
  </si>
  <si>
    <t>Replanifier le sprint si les prérequis sont manquants.</t>
  </si>
  <si>
    <t>D-06</t>
  </si>
  <si>
    <t>Écrans non fournis</t>
  </si>
  <si>
    <t>Obtenir le détail du cahier de texte, du tableau de bord enseignant, du journal de stage et de la soutenance. Confirmer les étapes initiales de Mon inscription.</t>
  </si>
  <si>
    <t>US-092, US-105 ; menus non détaillés</t>
  </si>
  <si>
    <t>Aucune invention de formulaire ni d’engagement pour les menus seuls.</t>
  </si>
  <si>
    <t>D-07</t>
  </si>
  <si>
    <t>Notes et bulletins : transitions</t>
  </si>
  <si>
    <t>Préciser rejet/retour du secrétariat, refus Direction, délais de correction et permissions d’accès aux anciennes versions et au QR public.</t>
  </si>
  <si>
    <t>US-095–097, US-104</t>
  </si>
  <si>
    <t>Condition de livraison du cycle complet notes/bulletins.</t>
  </si>
  <si>
    <t>D-08</t>
  </si>
  <si>
    <t>Compteurs de réalisation</t>
  </si>
  <si>
    <t>La capture du cours La Trinité affiche 1/3 séances et deux séances Réalisée. Définir séparément séances planifiées, réalisées et présences validées ; les compteurs doivent être calculés sur la même source.</t>
  </si>
  <si>
    <t>US-086, US-087</t>
  </si>
  <si>
    <t>À trancher avant recette ; ne pas reproduire les compteurs contradictoires de la maquette.</t>
  </si>
  <si>
    <t>Recette — Sprint 4</t>
  </si>
  <si>
    <t>Scénarios de démonstration et de contrôle à exécuter. Statut initial : Non exécuté.</t>
  </si>
  <si>
    <t>Cas</t>
  </si>
  <si>
    <t>Scénario</t>
  </si>
  <si>
    <t>Résultat attendu</t>
  </si>
  <si>
    <t>R4-01</t>
  </si>
  <si>
    <t>US-086, US-064</t>
  </si>
  <si>
    <t>Deux enseignants avec affectations distinctes ; deux étudiants avec dossiers distincts ; tenter accès direct croisé</t>
  </si>
  <si>
    <t>Refus côté API et absence de données hors périmètre.</t>
  </si>
  <si>
    <t>Non exécuté</t>
  </si>
  <si>
    <t>R4-02</t>
  </si>
  <si>
    <t>Matière entière, cours précis et cours sans séance</t>
  </si>
  <si>
    <t>Hiérarchie, affectations et états vides cohérents.</t>
  </si>
  <si>
    <t>R4-03</t>
  </si>
  <si>
    <t>Inscrire un étudiant d’une autre promotion à un seul cours de rattrapage</t>
  </si>
  <si>
    <t>Présence unique dans ce cours, badge et promotion d’origine ; pas d’ajout aux autres cours.</t>
  </si>
  <si>
    <t>R4-04</t>
  </si>
  <si>
    <t>US-088, US-089</t>
  </si>
  <si>
    <t>Marquer tous présents, ouvrir confirmation puis annuler et confirmer</t>
  </si>
  <si>
    <t>Annulation sans clôture ; confirmation définitive ; aucun cours à faire créé pour absence.</t>
  </si>
  <si>
    <t>R4-05</t>
  </si>
  <si>
    <t>US-089, US-066</t>
  </si>
  <si>
    <t>Valider une liste avec deux absents, puis consulter leurs cours à faire</t>
  </si>
  <si>
    <t>Deux parcours mis à jour conformément à D-01 ; aucune notation autorisée pour les absents exclus.</t>
  </si>
  <si>
    <t>R4-06</t>
  </si>
  <si>
    <t>Doubler la validation et tenter une modification après validation</t>
  </si>
  <si>
    <t>Pas de doublon, feuille verrouillée, auteur et date conservés.</t>
  </si>
  <si>
    <t>R4-07</t>
  </si>
  <si>
    <t>US-065, US-058</t>
  </si>
  <si>
    <t>Matière validée, incomplète et non commencée ; cursus comprenant stage/soutenance</t>
  </si>
  <si>
    <t>Statuts et moyennes partielles cohérents ; progression calculée sur toutes les matières ; pas de diplôme automatique.</t>
  </si>
  <si>
    <t>R4-08</t>
  </si>
  <si>
    <t>US-090, US-103</t>
  </si>
  <si>
    <t>Consulter sans planning puis après publication ; inclure rattrapage</t>
  </si>
  <si>
    <t>État indisponible puis créneaux autorisés ; aucun brouillon exposé.</t>
  </si>
  <si>
    <t>R4-09</t>
  </si>
  <si>
    <t>Parcours sur téléphone, expiration de session et erreur réseau</t>
  </si>
  <si>
    <t>Navigation utilisable, retour contrôlé à la connexion et erreurs explicites.</t>
  </si>
</sst>
</file>

<file path=xl/styles.xml><?xml version="1.0" encoding="utf-8"?>
<styleSheet xmlns="http://schemas.openxmlformats.org/spreadsheetml/2006/main" xml:space="preserve">
  <numFmts count="1">
    <numFmt numFmtId="164" formatCode="[$-1300C]dd/mm/yyyy;@"/>
  </numFmts>
  <fonts count="13">
    <font>
      <b val="0"/>
      <i val="0"/>
      <strike val="0"/>
      <u val="none"/>
      <sz val="11"/>
      <color rgb="FF000000"/>
      <name val="Calibri"/>
    </font>
    <font>
      <b val="0"/>
      <i val="0"/>
      <strike val="0"/>
      <u val="none"/>
      <sz val="10"/>
      <color rgb="FF000000"/>
      <name val="Arial"/>
    </font>
    <font>
      <b val="1"/>
      <i val="0"/>
      <strike val="0"/>
      <u val="none"/>
      <sz val="10"/>
      <color rgb="FFFFFFFF"/>
      <name val="Arial"/>
    </font>
    <font>
      <b val="1"/>
      <i val="0"/>
      <strike val="0"/>
      <u val="none"/>
      <sz val="10"/>
      <color rgb="FF000000"/>
      <name val="Arial"/>
    </font>
    <font>
      <b val="0"/>
      <i val="0"/>
      <strike val="0"/>
      <u val="none"/>
      <sz val="9"/>
      <color rgb="FF000000"/>
      <name val="Arial"/>
    </font>
    <font>
      <b val="0"/>
      <i val="0"/>
      <strike val="0"/>
      <u val="none"/>
      <sz val="11"/>
      <color rgb="FFE46C0A"/>
      <name val="Calibri"/>
    </font>
    <font>
      <b val="0"/>
      <i val="0"/>
      <strike val="0"/>
      <u val="none"/>
      <sz val="12"/>
      <color rgb="FF000000"/>
      <name val="Times New Roman"/>
    </font>
    <font>
      <b val="1"/>
      <i val="0"/>
      <strike val="0"/>
      <u val="none"/>
      <sz val="12"/>
      <color rgb="FFFFFFFF"/>
      <name val="Times New Roman"/>
    </font>
    <font>
      <b val="1"/>
      <i val="0"/>
      <strike val="0"/>
      <u val="none"/>
      <sz val="12"/>
      <color rgb="FF000000"/>
      <name val="Times New Roman"/>
    </font>
    <font>
      <b val="1"/>
      <i val="0"/>
      <strike val="0"/>
      <u val="none"/>
      <sz val="18"/>
      <color rgb="FF0E3A66"/>
      <name val="Arial"/>
    </font>
    <font>
      <b val="0"/>
      <i val="1"/>
      <strike val="0"/>
      <u val="none"/>
      <sz val="9"/>
      <color rgb="FF595959"/>
      <name val="Arial"/>
    </font>
    <font>
      <b val="1"/>
      <i val="0"/>
      <strike val="0"/>
      <u val="none"/>
      <sz val="18"/>
      <color rgb="FFFFFFFF"/>
      <name val="Calibri"/>
    </font>
    <font>
      <b val="1"/>
      <i val="0"/>
      <strike val="0"/>
      <u val="none"/>
      <sz val="11"/>
      <color rgb="FFFFFFFF"/>
      <name val="Calibri"/>
    </font>
  </fonts>
  <fills count="16">
    <fill>
      <patternFill patternType="none"/>
    </fill>
    <fill>
      <patternFill patternType="gray125"/>
    </fill>
    <fill>
      <patternFill patternType="solid">
        <fgColor rgb="FF0E3A66"/>
        <bgColor rgb="FF17375E"/>
      </patternFill>
    </fill>
    <fill>
      <patternFill patternType="solid">
        <fgColor rgb="FFFFF2CC"/>
        <bgColor rgb="FFFDEADA"/>
      </patternFill>
    </fill>
    <fill>
      <patternFill patternType="solid">
        <fgColor rgb="FFFDEADA"/>
        <bgColor rgb="FFFFF2CC"/>
      </patternFill>
    </fill>
    <fill>
      <patternFill patternType="solid">
        <fgColor rgb="FFC7DAF1"/>
        <bgColor rgb="FFB7DEE8"/>
      </patternFill>
    </fill>
    <fill>
      <patternFill patternType="solid">
        <fgColor rgb="FFFF0000"/>
        <bgColor rgb="FF9E2B25"/>
      </patternFill>
    </fill>
    <fill>
      <patternFill patternType="solid">
        <fgColor rgb="FFFFC000"/>
        <bgColor rgb="FFFF9900"/>
      </patternFill>
    </fill>
    <fill>
      <patternFill patternType="solid">
        <fgColor rgb="FF9BBB59"/>
        <bgColor rgb="FF969696"/>
      </patternFill>
    </fill>
    <fill>
      <patternFill patternType="solid">
        <fgColor rgb="FFF2DBDB"/>
        <bgColor rgb="FFE6E0EC"/>
      </patternFill>
    </fill>
    <fill>
      <patternFill patternType="solid">
        <fgColor rgb="FFB6DEE8"/>
        <bgColor rgb="FFC6D9F1"/>
      </patternFill>
    </fill>
    <fill>
      <patternFill patternType="solid">
        <fgColor rgb="FFD6E2EF"/>
        <bgColor rgb="FFE6E0EC"/>
      </patternFill>
    </fill>
    <fill>
      <patternFill patternType="solid">
        <fgColor rgb="FFE6E0ED"/>
        <bgColor rgb="FFD6E2EF"/>
      </patternFill>
    </fill>
    <fill>
      <patternFill patternType="solid">
        <fgColor rgb="FF10375B"/>
        <bgColor rgb="FF000000"/>
      </patternFill>
    </fill>
    <fill>
      <patternFill patternType="solid">
        <fgColor rgb="FF5142B5"/>
        <bgColor rgb="FF000000"/>
      </patternFill>
    </fill>
    <fill>
      <patternFill patternType="solid">
        <fgColor rgb="FFEEF3F8"/>
        <bgColor rgb="FF000000"/>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medium">
        <color rgb="FF000000"/>
      </left>
      <right style="thin">
        <color rgb="FFBFBFBF"/>
      </right>
      <top style="medium">
        <color rgb="FF000000"/>
      </top>
      <bottom style="medium">
        <color rgb="FF000000"/>
      </bottom>
      <diagonal/>
    </border>
    <border>
      <left/>
      <right/>
      <top style="medium">
        <color rgb="FF000000"/>
      </top>
      <bottom style="medium">
        <color rgb="FF000000"/>
      </bottom>
      <diagonal/>
    </border>
    <border>
      <left/>
      <right style="thin">
        <color rgb="FFBFBFBF"/>
      </right>
      <top style="medium">
        <color rgb="FF000000"/>
      </top>
      <bottom style="medium">
        <color rgb="FF000000"/>
      </bottom>
      <diagonal/>
    </border>
  </borders>
  <cellStyleXfs count="1">
    <xf numFmtId="0" fontId="0" fillId="0" borderId="0"/>
  </cellStyleXfs>
  <cellXfs count="57">
    <xf xfId="0" fontId="0" numFmtId="0" fillId="0" borderId="0" applyFont="0" applyNumberFormat="0" applyFill="0" applyBorder="0" applyAlignment="0"/>
    <xf xfId="0" fontId="1" numFmtId="0" fillId="0" borderId="1" applyFont="1" applyNumberFormat="0" applyFill="0" applyBorder="1" applyAlignment="1">
      <alignment vertical="top" textRotation="0" wrapText="true" shrinkToFit="false"/>
    </xf>
    <xf xfId="0" fontId="2" numFmtId="0" fillId="2" borderId="1" applyFont="1" applyNumberFormat="0" applyFill="1" applyBorder="1" applyAlignment="1">
      <alignment horizontal="center" vertical="center" textRotation="0" wrapText="true" shrinkToFit="false"/>
    </xf>
    <xf xfId="0" fontId="3" numFmtId="0" fillId="0" borderId="1" applyFont="1" applyNumberFormat="0" applyFill="0" applyBorder="1" applyAlignment="1">
      <alignment vertical="top" textRotation="0" wrapText="true" shrinkToFit="false"/>
    </xf>
    <xf xfId="0" fontId="1" numFmtId="0" fillId="0" borderId="1" applyFont="1" applyNumberFormat="0" applyFill="0" applyBorder="1" applyAlignment="1">
      <alignment horizontal="center" vertical="center" textRotation="0" wrapText="false" shrinkToFit="false"/>
    </xf>
    <xf xfId="0" fontId="3" numFmtId="0" fillId="3" borderId="1" applyFont="1" applyNumberFormat="0" applyFill="1" applyBorder="1" applyAlignment="1">
      <alignment vertical="top" textRotation="0" wrapText="true" shrinkToFit="false"/>
    </xf>
    <xf xfId="0" fontId="3" numFmtId="0" fillId="3" borderId="1" applyFont="1" applyNumberFormat="0" applyFill="1" applyBorder="1" applyAlignment="1">
      <alignment horizontal="center" vertical="center" textRotation="0" wrapText="false" shrinkToFit="false"/>
    </xf>
    <xf xfId="0" fontId="3" numFmtId="0" fillId="4" borderId="1" applyFont="1" applyNumberFormat="0" applyFill="1" applyBorder="1" applyAlignment="1">
      <alignment vertical="top" textRotation="0" wrapText="true" shrinkToFit="false"/>
    </xf>
    <xf xfId="0" fontId="1" numFmtId="0" fillId="5" borderId="1" applyFont="1" applyNumberFormat="0" applyFill="1" applyBorder="1" applyAlignment="1">
      <alignment vertical="top" textRotation="0" wrapText="true" shrinkToFit="false"/>
    </xf>
    <xf xfId="0" fontId="4" numFmtId="0" fillId="0" borderId="1" applyFont="1" applyNumberFormat="0" applyFill="0" applyBorder="1" applyAlignment="1">
      <alignment vertical="top" textRotation="0" wrapText="true" shrinkToFit="false"/>
    </xf>
    <xf xfId="0" fontId="2" numFmtId="0" fillId="6" borderId="1" applyFont="1" applyNumberFormat="0" applyFill="1" applyBorder="1" applyAlignment="1">
      <alignment vertical="top" textRotation="0" wrapText="true" shrinkToFit="false"/>
    </xf>
    <xf xfId="0" fontId="1" numFmtId="0" fillId="7" borderId="1" applyFont="1" applyNumberFormat="0" applyFill="1" applyBorder="1" applyAlignment="1">
      <alignment vertical="top" textRotation="0" wrapText="true" shrinkToFit="false"/>
    </xf>
    <xf xfId="0" fontId="3" numFmtId="0" fillId="8" borderId="1" applyFont="1" applyNumberFormat="0" applyFill="1" applyBorder="1" applyAlignment="1">
      <alignment vertical="top" textRotation="0" wrapText="true" shrinkToFit="false"/>
    </xf>
    <xf xfId="0" fontId="1" numFmtId="0" fillId="8" borderId="1" applyFont="1" applyNumberFormat="0" applyFill="1" applyBorder="1" applyAlignment="1">
      <alignment vertical="top" textRotation="0" wrapText="true" shrinkToFit="false"/>
    </xf>
    <xf xfId="0" fontId="4" numFmtId="0" fillId="8" borderId="1" applyFont="1" applyNumberFormat="0" applyFill="1" applyBorder="1" applyAlignment="1">
      <alignment vertical="top" textRotation="0" wrapText="true" shrinkToFit="false"/>
    </xf>
    <xf xfId="0" fontId="1" numFmtId="0" fillId="8" borderId="1" applyFont="1" applyNumberFormat="0" applyFill="1" applyBorder="1" applyAlignment="1">
      <alignment horizontal="center" vertical="center" textRotation="0" wrapText="false" shrinkToFit="false"/>
    </xf>
    <xf xfId="0" fontId="0" numFmtId="0" fillId="8" borderId="0" applyFont="0" applyNumberFormat="0" applyFill="1" applyBorder="0" applyAlignment="0"/>
    <xf xfId="0" fontId="1" numFmtId="0" fillId="4" borderId="1" applyFont="1" applyNumberFormat="0" applyFill="1" applyBorder="1" applyAlignment="1">
      <alignment horizontal="center" vertical="center" textRotation="0" wrapText="false" shrinkToFit="false"/>
    </xf>
    <xf xfId="0" fontId="1" numFmtId="0" fillId="4" borderId="1" applyFont="1" applyNumberFormat="0" applyFill="1" applyBorder="1" applyAlignment="1">
      <alignment vertical="top" textRotation="0" wrapText="true" shrinkToFit="false"/>
    </xf>
    <xf xfId="0" fontId="1" numFmtId="0" fillId="9" borderId="1" applyFont="1" applyNumberFormat="0" applyFill="1" applyBorder="1" applyAlignment="1">
      <alignment vertical="top" textRotation="0" wrapText="true" shrinkToFit="false"/>
    </xf>
    <xf xfId="0" fontId="1" numFmtId="0" fillId="10" borderId="1" applyFont="1" applyNumberFormat="0" applyFill="1" applyBorder="1" applyAlignment="1">
      <alignment vertical="top" textRotation="0" wrapText="true" shrinkToFit="false"/>
    </xf>
    <xf xfId="0" fontId="3" numFmtId="0" fillId="11" borderId="2" applyFont="1" applyNumberFormat="0" applyFill="1" applyBorder="1" applyAlignment="1">
      <alignment vertical="center" textRotation="0" wrapText="false" shrinkToFit="false"/>
    </xf>
    <xf xfId="0" fontId="2" numFmtId="0" fillId="2" borderId="1" applyFont="1" applyNumberFormat="0" applyFill="1" applyBorder="1" applyAlignment="1">
      <alignment horizontal="center" vertical="center" textRotation="0" wrapText="true" shrinkToFit="false"/>
    </xf>
    <xf xfId="0" fontId="1" numFmtId="0" fillId="12" borderId="1" applyFont="1" applyNumberFormat="0" applyFill="1" applyBorder="1" applyAlignment="1">
      <alignment vertical="top" textRotation="0" wrapText="true" shrinkToFit="false"/>
    </xf>
    <xf xfId="0" fontId="1" numFmtId="14" fillId="0" borderId="1" applyFont="1" applyNumberFormat="1" applyFill="0" applyBorder="1" applyAlignment="1">
      <alignment vertical="top" textRotation="0" wrapText="true" shrinkToFit="false"/>
    </xf>
    <xf xfId="0" fontId="1" numFmtId="0" fillId="0" borderId="1" applyFont="1" applyNumberFormat="0" applyFill="0" applyBorder="1" applyAlignment="1">
      <alignment vertical="top" textRotation="0" wrapText="true" shrinkToFit="false"/>
    </xf>
    <xf xfId="0" fontId="5" numFmtId="0" fillId="0" borderId="0" applyFont="1" applyNumberFormat="0" applyFill="0" applyBorder="0" applyAlignment="0"/>
    <xf xfId="0" fontId="1" numFmtId="14" fillId="0" borderId="1" applyFont="1" applyNumberFormat="1" applyFill="0" applyBorder="1" applyAlignment="1">
      <alignment vertical="top" textRotation="0" wrapText="true" shrinkToFit="false"/>
    </xf>
    <xf xfId="0" fontId="6" numFmtId="0" fillId="0" borderId="0" applyFont="1" applyNumberFormat="0" applyFill="0" applyBorder="0" applyAlignment="0"/>
    <xf xfId="0" fontId="7" numFmtId="0" fillId="2" borderId="1" applyFont="1" applyNumberFormat="0" applyFill="1" applyBorder="1" applyAlignment="1">
      <alignment horizontal="center" vertical="center" textRotation="0" wrapText="true" shrinkToFit="false"/>
    </xf>
    <xf xfId="0" fontId="6" numFmtId="0" fillId="0" borderId="1" applyFont="1" applyNumberFormat="0" applyFill="0" applyBorder="1" applyAlignment="1">
      <alignment vertical="top" textRotation="0" wrapText="true" shrinkToFit="false"/>
    </xf>
    <xf xfId="0" fontId="8" numFmtId="0" fillId="3" borderId="1" applyFont="1" applyNumberFormat="0" applyFill="1" applyBorder="1" applyAlignment="1">
      <alignment vertical="top" textRotation="0" wrapText="true" shrinkToFit="false"/>
    </xf>
    <xf xfId="0" fontId="1" numFmtId="0" fillId="12" borderId="1" applyFont="1" applyNumberFormat="0" applyFill="1" applyBorder="1" applyAlignment="1">
      <alignment vertical="top" textRotation="0" wrapText="true" shrinkToFit="false"/>
    </xf>
    <xf xfId="0" fontId="6" numFmtId="0" fillId="12" borderId="1" applyFont="1" applyNumberFormat="0" applyFill="1" applyBorder="1" applyAlignment="1">
      <alignment vertical="top" textRotation="0" wrapText="true" shrinkToFit="false"/>
    </xf>
    <xf xfId="0" fontId="1" numFmtId="0" fillId="0" borderId="1" applyFont="1" applyNumberFormat="0" applyFill="0" applyBorder="1" applyAlignment="1">
      <alignment horizontal="center" vertical="center" textRotation="0" wrapText="false" shrinkToFit="false"/>
    </xf>
    <xf xfId="0" fontId="0" numFmtId="164" fillId="0" borderId="0" applyFont="0" applyNumberFormat="1" applyFill="0" applyBorder="0" applyAlignment="0"/>
    <xf xfId="0" fontId="2" numFmtId="164" fillId="2" borderId="1" applyFont="1" applyNumberFormat="1" applyFill="1" applyBorder="1" applyAlignment="1">
      <alignment horizontal="center" vertical="center" textRotation="0" wrapText="true" shrinkToFit="false"/>
    </xf>
    <xf xfId="0" fontId="1" numFmtId="164" fillId="0" borderId="1" applyFont="1" applyNumberFormat="1" applyFill="0" applyBorder="1" applyAlignment="1">
      <alignment vertical="top" textRotation="0" wrapText="true" shrinkToFit="false"/>
    </xf>
    <xf xfId="0" fontId="9" numFmtId="0" fillId="0" borderId="0" applyFont="1" applyNumberFormat="0" applyFill="0" applyBorder="0" applyAlignment="0"/>
    <xf xfId="0" fontId="0" numFmtId="0" fillId="0" borderId="0" applyFont="0" applyNumberFormat="0" applyFill="0" applyBorder="0" applyAlignment="0"/>
    <xf xfId="0" fontId="10" numFmtId="0" fillId="0" borderId="0" applyFont="1" applyNumberFormat="0" applyFill="0" applyBorder="0" applyAlignment="0"/>
    <xf xfId="0" fontId="10" numFmtId="0" fillId="0" borderId="0" applyFont="1" applyNumberFormat="0" applyFill="0" applyBorder="0" applyAlignment="0"/>
    <xf xfId="0" fontId="1" numFmtId="0" fillId="4" borderId="3" applyFont="1" applyNumberFormat="0" applyFill="1" applyBorder="1" applyAlignment="1">
      <alignment vertical="center" textRotation="0" wrapText="true" shrinkToFit="false"/>
    </xf>
    <xf xfId="0" fontId="0" numFmtId="0" fillId="0" borderId="4" applyFont="0" applyNumberFormat="0" applyFill="0" applyBorder="1" applyAlignment="0"/>
    <xf xfId="0" fontId="0" numFmtId="0" fillId="0" borderId="5" applyFont="0" applyNumberFormat="0" applyFill="0" applyBorder="1" applyAlignment="0"/>
    <xf xfId="0" fontId="6" numFmtId="0" fillId="0" borderId="0" applyFont="1" applyNumberFormat="0" applyFill="0" applyBorder="0" applyAlignment="0"/>
    <xf xfId="0" fontId="9" numFmtId="0" fillId="0" borderId="0" applyFont="1" applyNumberFormat="0" applyFill="0" applyBorder="0" applyAlignment="0"/>
    <xf xfId="0" fontId="0" numFmtId="164" fillId="0" borderId="0" applyFont="0" applyNumberFormat="1" applyFill="0" applyBorder="0" applyAlignment="0"/>
    <xf xfId="0" fontId="1" numFmtId="14" fillId="0" borderId="1" applyFont="1" applyNumberFormat="1" applyFill="0" applyBorder="1" applyAlignment="1">
      <alignment horizontal="center" vertical="top" textRotation="0" wrapText="true" shrinkToFit="false"/>
    </xf>
    <xf xfId="0" fontId="1" numFmtId="0" fillId="0" borderId="1" applyFont="1" applyNumberFormat="0" applyFill="0" applyBorder="1" applyAlignment="1">
      <alignment horizontal="center" vertical="top" textRotation="0" wrapText="tru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xf xfId="0" fontId="11" numFmtId="0" fillId="13" borderId="0" applyFont="1" applyNumberFormat="0" applyFill="1" applyBorder="0" applyAlignment="1">
      <alignment vertical="top" textRotation="0" wrapText="true" shrinkToFit="false"/>
    </xf>
    <xf xfId="0" fontId="0" numFmtId="0" fillId="0" borderId="0" applyFont="0" applyNumberFormat="0" applyFill="0" applyBorder="0" applyAlignment="1">
      <alignment vertical="top" textRotation="0" wrapText="true" shrinkToFit="false"/>
    </xf>
    <xf xfId="0" fontId="12" numFmtId="0" fillId="14" borderId="0" applyFont="1" applyNumberFormat="0" applyFill="1" applyBorder="0" applyAlignment="1">
      <alignment vertical="top" textRotation="0" wrapText="true" shrinkToFit="false"/>
    </xf>
    <xf xfId="0" fontId="0" numFmtId="0" fillId="13" borderId="0" applyFont="0" applyNumberFormat="0" applyFill="1" applyBorder="0" applyAlignment="1">
      <alignment vertical="top" textRotation="0" wrapText="true" shrinkToFit="false"/>
    </xf>
    <xf xfId="0" fontId="0" numFmtId="0" fillId="15" borderId="0" applyFont="0" applyNumberFormat="0" applyFill="1" applyBorder="0" applyAlignment="1">
      <alignment vertical="top" textRotation="0" wrapText="true" shrinkToFit="false"/>
    </xf>
  </cellXfs>
  <cellStyles count="1">
    <cellStyle name="Normal" xfId="0" builtinId="0"/>
  </cellStyles>
  <dxfs count="1">
    <dxf>
      <font>
        <b val="1"/>
        <sz val="10"/>
        <color rgb="FF9E2B25"/>
        <name val="Arial"/>
      </font>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tabColor rgb="FF0E3A66"/>
    <outlinePr summaryBelow="1" summaryRight="1"/>
  </sheetPr>
  <dimension ref="A1:J27"/>
  <sheetViews>
    <sheetView tabSelected="0" workbookViewId="0" showGridLines="false" showRowColHeaders="1">
      <pane ySplit="3" topLeftCell="A4" activePane="bottomLeft" state="frozen"/>
      <selection pane="bottomLeft" activeCell="J27" sqref="J27"/>
    </sheetView>
  </sheetViews>
  <sheetFormatPr defaultRowHeight="14.4" defaultColWidth="8.6640625" outlineLevelRow="0" outlineLevelCol="0"/>
  <cols>
    <col min="1" max="1" width="9" customWidth="true" style="0"/>
    <col min="2" max="2" width="38" customWidth="true" style="0"/>
    <col min="3" max="3" width="34" customWidth="true" style="0"/>
    <col min="4" max="4" width="60" customWidth="true" style="0"/>
    <col min="5" max="5" width="55" customWidth="true" style="0"/>
    <col min="6" max="6" width="14" customWidth="true" style="0"/>
    <col min="7" max="7" width="8" customWidth="true" style="0"/>
    <col min="8" max="8" width="20" customWidth="true" style="0"/>
    <col min="9" max="9" width="13" customWidth="true" style="0"/>
    <col min="10" max="10" width="13" customWidth="true" style="0"/>
  </cols>
  <sheetData>
    <row r="1" spans="1:10" customHeight="1" ht="25.5">
      <c r="A1" s="38" t="s">
        <v>0</v>
      </c>
      <c r="B1" s="39"/>
      <c r="C1" s="39"/>
      <c r="D1" s="39"/>
      <c r="E1" s="39"/>
      <c r="F1" s="39"/>
      <c r="G1" s="39"/>
      <c r="H1" s="39"/>
      <c r="I1" s="39"/>
      <c r="J1" s="39"/>
    </row>
    <row r="2" spans="1:10" customHeight="1" ht="14.25">
      <c r="A2" s="40" t="s">
        <v>1</v>
      </c>
      <c r="B2" s="39"/>
      <c r="C2" s="39"/>
      <c r="D2" s="39"/>
      <c r="E2" s="39"/>
      <c r="F2" s="39"/>
      <c r="G2" s="39"/>
      <c r="H2" s="39"/>
      <c r="I2" s="39"/>
      <c r="J2" s="39"/>
    </row>
    <row r="5" spans="1:10" customHeight="1" ht="30">
      <c r="A5" s="2" t="s">
        <v>2</v>
      </c>
      <c r="B5" s="2" t="s">
        <v>3</v>
      </c>
      <c r="C5" s="2" t="s">
        <v>4</v>
      </c>
      <c r="D5" s="2" t="s">
        <v>5</v>
      </c>
      <c r="E5" s="2" t="s">
        <v>6</v>
      </c>
      <c r="F5" s="2" t="s">
        <v>7</v>
      </c>
      <c r="G5" s="2" t="s">
        <v>8</v>
      </c>
      <c r="H5" s="2" t="s">
        <v>9</v>
      </c>
      <c r="I5" s="2" t="s">
        <v>10</v>
      </c>
      <c r="J5" s="2" t="s">
        <v>11</v>
      </c>
    </row>
    <row r="6" spans="1:10" customHeight="1" ht="51.75">
      <c r="A6" s="3" t="s">
        <v>12</v>
      </c>
      <c r="B6" s="1" t="s">
        <v>13</v>
      </c>
      <c r="C6" s="1" t="s">
        <v>14</v>
      </c>
      <c r="D6" s="1" t="s">
        <v>15</v>
      </c>
      <c r="E6" s="1" t="s">
        <v>16</v>
      </c>
      <c r="F6" s="4" t="s">
        <v>17</v>
      </c>
      <c r="G6" s="4">
        <v>1</v>
      </c>
      <c r="H6" s="1" t="s">
        <v>18</v>
      </c>
      <c r="I6" s="4" t="str">
        <f>COUNTIF('Product Backlog'!$B$6:$B$76,$A6)</f>
        <v>0</v>
      </c>
      <c r="J6" s="4" t="str">
        <f>SUMIF('Product Backlog'!$B$6:$B$76,$A6,'Product Backlog'!$I$6:$I$76)</f>
        <v>0</v>
      </c>
    </row>
    <row r="7" spans="1:10" customHeight="1" ht="51.75">
      <c r="A7" s="3" t="s">
        <v>19</v>
      </c>
      <c r="B7" s="1" t="s">
        <v>20</v>
      </c>
      <c r="C7" s="1" t="s">
        <v>21</v>
      </c>
      <c r="D7" s="1" t="s">
        <v>22</v>
      </c>
      <c r="E7" s="1" t="s">
        <v>23</v>
      </c>
      <c r="F7" s="4" t="s">
        <v>17</v>
      </c>
      <c r="G7" s="4">
        <v>2</v>
      </c>
      <c r="H7" s="1" t="s">
        <v>18</v>
      </c>
      <c r="I7" s="4" t="str">
        <f>COUNTIF('Product Backlog'!$B$6:$B$76,$A7)</f>
        <v>0</v>
      </c>
      <c r="J7" s="4" t="str">
        <f>SUMIF('Product Backlog'!$B$6:$B$76,$A7,'Product Backlog'!$I$6:$I$76)</f>
        <v>0</v>
      </c>
    </row>
    <row r="8" spans="1:10" customHeight="1" ht="51.75">
      <c r="A8" s="3" t="s">
        <v>24</v>
      </c>
      <c r="B8" s="1" t="s">
        <v>25</v>
      </c>
      <c r="C8" s="1" t="s">
        <v>21</v>
      </c>
      <c r="D8" s="1" t="s">
        <v>26</v>
      </c>
      <c r="E8" s="1" t="s">
        <v>27</v>
      </c>
      <c r="F8" s="4" t="s">
        <v>17</v>
      </c>
      <c r="G8" s="4">
        <v>3</v>
      </c>
      <c r="H8" s="1" t="s">
        <v>18</v>
      </c>
      <c r="I8" s="4" t="str">
        <f>COUNTIF('Product Backlog'!$B$6:$B$76,$A8)</f>
        <v>0</v>
      </c>
      <c r="J8" s="4" t="str">
        <f>SUMIF('Product Backlog'!$B$6:$B$76,$A8,'Product Backlog'!$I$6:$I$76)</f>
        <v>0</v>
      </c>
    </row>
    <row r="9" spans="1:10" customHeight="1" ht="51.75">
      <c r="A9" s="3" t="s">
        <v>28</v>
      </c>
      <c r="B9" s="1" t="s">
        <v>29</v>
      </c>
      <c r="C9" s="1" t="s">
        <v>21</v>
      </c>
      <c r="D9" s="1" t="s">
        <v>30</v>
      </c>
      <c r="E9" s="1" t="s">
        <v>31</v>
      </c>
      <c r="F9" s="4" t="s">
        <v>17</v>
      </c>
      <c r="G9" s="4">
        <v>4</v>
      </c>
      <c r="H9" s="1" t="s">
        <v>18</v>
      </c>
      <c r="I9" s="4" t="str">
        <f>COUNTIF('Product Backlog'!$B$6:$B$76,$A9)</f>
        <v>0</v>
      </c>
      <c r="J9" s="4" t="str">
        <f>SUMIF('Product Backlog'!$B$6:$B$76,$A9,'Product Backlog'!$I$6:$I$76)</f>
        <v>0</v>
      </c>
    </row>
    <row r="10" spans="1:10" customHeight="1" ht="51.75">
      <c r="A10" s="3" t="s">
        <v>32</v>
      </c>
      <c r="B10" s="1" t="s">
        <v>33</v>
      </c>
      <c r="C10" s="1" t="s">
        <v>21</v>
      </c>
      <c r="D10" s="1" t="s">
        <v>34</v>
      </c>
      <c r="E10" s="1" t="s">
        <v>35</v>
      </c>
      <c r="F10" s="4" t="s">
        <v>17</v>
      </c>
      <c r="G10" s="4">
        <v>5</v>
      </c>
      <c r="H10" s="1" t="s">
        <v>18</v>
      </c>
      <c r="I10" s="4" t="str">
        <f>COUNTIF('Product Backlog'!$B$6:$B$76,$A10)</f>
        <v>0</v>
      </c>
      <c r="J10" s="4" t="str">
        <f>SUMIF('Product Backlog'!$B$6:$B$76,$A10,'Product Backlog'!$I$6:$I$76)</f>
        <v>0</v>
      </c>
    </row>
    <row r="11" spans="1:10" customHeight="1" ht="51.75">
      <c r="A11" s="3" t="s">
        <v>36</v>
      </c>
      <c r="B11" s="1" t="s">
        <v>37</v>
      </c>
      <c r="C11" s="1" t="s">
        <v>21</v>
      </c>
      <c r="D11" s="1" t="s">
        <v>38</v>
      </c>
      <c r="E11" s="1" t="s">
        <v>39</v>
      </c>
      <c r="F11" s="4" t="s">
        <v>17</v>
      </c>
      <c r="G11" s="4">
        <v>6</v>
      </c>
      <c r="H11" s="1" t="s">
        <v>18</v>
      </c>
      <c r="I11" s="4" t="str">
        <f>COUNTIF('Product Backlog'!$B$6:$B$76,$A11)</f>
        <v>0</v>
      </c>
      <c r="J11" s="4" t="str">
        <f>SUMIF('Product Backlog'!$B$6:$B$76,$A11,'Product Backlog'!$I$6:$I$76)</f>
        <v>0</v>
      </c>
    </row>
    <row r="12" spans="1:10" customHeight="1" ht="51.75">
      <c r="A12" s="3" t="s">
        <v>40</v>
      </c>
      <c r="B12" s="1" t="s">
        <v>41</v>
      </c>
      <c r="C12" s="1" t="s">
        <v>21</v>
      </c>
      <c r="D12" s="1" t="s">
        <v>42</v>
      </c>
      <c r="E12" s="1" t="s">
        <v>43</v>
      </c>
      <c r="F12" s="4" t="s">
        <v>17</v>
      </c>
      <c r="G12" s="4">
        <v>7</v>
      </c>
      <c r="H12" s="1" t="s">
        <v>18</v>
      </c>
      <c r="I12" s="4" t="str">
        <f>COUNTIF('Product Backlog'!$B$6:$B$76,$A12)</f>
        <v>0</v>
      </c>
      <c r="J12" s="4" t="str">
        <f>SUMIF('Product Backlog'!$B$6:$B$76,$A12,'Product Backlog'!$I$6:$I$76)</f>
        <v>0</v>
      </c>
    </row>
    <row r="13" spans="1:10" customHeight="1" ht="51.75">
      <c r="A13" s="3" t="s">
        <v>44</v>
      </c>
      <c r="B13" s="1" t="s">
        <v>45</v>
      </c>
      <c r="C13" s="1" t="s">
        <v>21</v>
      </c>
      <c r="D13" s="1" t="s">
        <v>46</v>
      </c>
      <c r="E13" s="1" t="s">
        <v>47</v>
      </c>
      <c r="F13" s="4" t="s">
        <v>17</v>
      </c>
      <c r="G13" s="4">
        <v>8</v>
      </c>
      <c r="H13" s="1" t="s">
        <v>18</v>
      </c>
      <c r="I13" s="4" t="str">
        <f>COUNTIF('Product Backlog'!$B$6:$B$76,$A13)</f>
        <v>0</v>
      </c>
      <c r="J13" s="4" t="str">
        <f>SUMIF('Product Backlog'!$B$6:$B$76,$A13,'Product Backlog'!$I$6:$I$76)</f>
        <v>0</v>
      </c>
    </row>
    <row r="14" spans="1:10" customHeight="1" ht="51.75">
      <c r="A14" s="3" t="s">
        <v>48</v>
      </c>
      <c r="B14" s="1" t="s">
        <v>49</v>
      </c>
      <c r="C14" s="1" t="s">
        <v>50</v>
      </c>
      <c r="D14" s="1" t="s">
        <v>51</v>
      </c>
      <c r="E14" s="1" t="s">
        <v>52</v>
      </c>
      <c r="F14" s="4" t="s">
        <v>17</v>
      </c>
      <c r="G14" s="4">
        <v>9</v>
      </c>
      <c r="H14" s="1" t="s">
        <v>18</v>
      </c>
      <c r="I14" s="4" t="str">
        <f>COUNTIF('Product Backlog'!$B$6:$B$76,$A14)</f>
        <v>0</v>
      </c>
      <c r="J14" s="4" t="str">
        <f>SUMIF('Product Backlog'!$B$6:$B$76,$A14,'Product Backlog'!$I$6:$I$76)</f>
        <v>0</v>
      </c>
    </row>
    <row r="15" spans="1:10" customHeight="1" ht="51.75">
      <c r="A15" s="3" t="s">
        <v>53</v>
      </c>
      <c r="B15" s="1" t="s">
        <v>54</v>
      </c>
      <c r="C15" s="1" t="s">
        <v>55</v>
      </c>
      <c r="D15" s="1" t="s">
        <v>56</v>
      </c>
      <c r="E15" s="1" t="s">
        <v>57</v>
      </c>
      <c r="F15" s="4" t="s">
        <v>17</v>
      </c>
      <c r="G15" s="4">
        <v>10</v>
      </c>
      <c r="H15" s="1" t="s">
        <v>58</v>
      </c>
      <c r="I15" s="4" t="str">
        <f>COUNTIF('Product Backlog'!$B$6:$B$76,$A15)</f>
        <v>0</v>
      </c>
      <c r="J15" s="4" t="str">
        <f>SUMIF('Product Backlog'!$B$6:$B$76,$A15,'Product Backlog'!$I$6:$I$76)</f>
        <v>0</v>
      </c>
    </row>
    <row r="16" spans="1:10" customHeight="1" ht="51.75">
      <c r="A16" s="3" t="s">
        <v>59</v>
      </c>
      <c r="B16" s="1" t="s">
        <v>60</v>
      </c>
      <c r="C16" s="1" t="s">
        <v>61</v>
      </c>
      <c r="D16" s="1" t="s">
        <v>62</v>
      </c>
      <c r="E16" s="1" t="s">
        <v>63</v>
      </c>
      <c r="F16" s="4" t="s">
        <v>17</v>
      </c>
      <c r="G16" s="4">
        <v>11</v>
      </c>
      <c r="H16" s="1" t="s">
        <v>58</v>
      </c>
      <c r="I16" s="4" t="str">
        <f>COUNTIF('Product Backlog'!$B$6:$B$76,$A16)</f>
        <v>0</v>
      </c>
      <c r="J16" s="4" t="str">
        <f>SUMIF('Product Backlog'!$B$6:$B$76,$A16,'Product Backlog'!$I$6:$I$76)</f>
        <v>0</v>
      </c>
    </row>
    <row r="17" spans="1:10" customHeight="1" ht="51.75">
      <c r="A17" s="3" t="s">
        <v>64</v>
      </c>
      <c r="B17" s="1" t="s">
        <v>65</v>
      </c>
      <c r="C17" s="1" t="s">
        <v>66</v>
      </c>
      <c r="D17" s="1" t="s">
        <v>67</v>
      </c>
      <c r="E17" s="1" t="s">
        <v>68</v>
      </c>
      <c r="F17" s="4" t="s">
        <v>69</v>
      </c>
      <c r="G17" s="4">
        <v>12</v>
      </c>
      <c r="H17" s="1" t="s">
        <v>58</v>
      </c>
      <c r="I17" s="4" t="str">
        <f>COUNTIF('Product Backlog'!$B$6:$B$76,$A17)</f>
        <v>0</v>
      </c>
      <c r="J17" s="4" t="str">
        <f>SUMIF('Product Backlog'!$B$6:$B$76,$A17,'Product Backlog'!$I$6:$I$76)</f>
        <v>0</v>
      </c>
    </row>
    <row r="18" spans="1:10" customHeight="1" ht="51.75">
      <c r="A18" s="3" t="s">
        <v>70</v>
      </c>
      <c r="B18" s="1" t="s">
        <v>71</v>
      </c>
      <c r="C18" s="1" t="s">
        <v>72</v>
      </c>
      <c r="D18" s="1" t="s">
        <v>73</v>
      </c>
      <c r="E18" s="1" t="s">
        <v>74</v>
      </c>
      <c r="F18" s="4" t="s">
        <v>69</v>
      </c>
      <c r="G18" s="4">
        <v>13</v>
      </c>
      <c r="H18" s="1" t="s">
        <v>58</v>
      </c>
      <c r="I18" s="4" t="str">
        <f>COUNTIF('Product Backlog'!$B$6:$B$76,$A18)</f>
        <v>0</v>
      </c>
      <c r="J18" s="4" t="str">
        <f>SUMIF('Product Backlog'!$B$6:$B$76,$A18,'Product Backlog'!$I$6:$I$76)</f>
        <v>0</v>
      </c>
    </row>
    <row r="19" spans="1:10" customHeight="1" ht="51.75">
      <c r="A19" s="3" t="s">
        <v>75</v>
      </c>
      <c r="B19" s="1" t="s">
        <v>76</v>
      </c>
      <c r="C19" s="1" t="s">
        <v>77</v>
      </c>
      <c r="D19" s="1" t="s">
        <v>78</v>
      </c>
      <c r="E19" s="1" t="s">
        <v>79</v>
      </c>
      <c r="F19" s="4" t="s">
        <v>17</v>
      </c>
      <c r="G19" s="4">
        <v>14</v>
      </c>
      <c r="H19" s="1" t="s">
        <v>58</v>
      </c>
      <c r="I19" s="4" t="str">
        <f>COUNTIF('Product Backlog'!$B$6:$B$76,$A19)</f>
        <v>0</v>
      </c>
      <c r="J19" s="4" t="str">
        <f>SUMIF('Product Backlog'!$B$6:$B$76,$A19,'Product Backlog'!$I$6:$I$76)</f>
        <v>0</v>
      </c>
    </row>
    <row r="20" spans="1:10" customHeight="1" ht="51.75">
      <c r="A20" s="3" t="s">
        <v>80</v>
      </c>
      <c r="B20" s="1" t="s">
        <v>81</v>
      </c>
      <c r="C20" s="1" t="s">
        <v>82</v>
      </c>
      <c r="D20" s="1" t="s">
        <v>83</v>
      </c>
      <c r="E20" s="1" t="s">
        <v>84</v>
      </c>
      <c r="F20" s="4" t="s">
        <v>69</v>
      </c>
      <c r="G20" s="4">
        <v>15</v>
      </c>
      <c r="H20" s="1" t="s">
        <v>85</v>
      </c>
      <c r="I20" s="4" t="str">
        <f>COUNTIF('Product Backlog'!$B$6:$B$76,$A20)</f>
        <v>0</v>
      </c>
      <c r="J20" s="4" t="str">
        <f>SUMIF('Product Backlog'!$B$6:$B$76,$A20,'Product Backlog'!$I$6:$I$76)</f>
        <v>0</v>
      </c>
    </row>
    <row r="21" spans="1:10" customHeight="1" ht="51.75">
      <c r="A21" s="3" t="s">
        <v>86</v>
      </c>
      <c r="B21" s="1" t="s">
        <v>87</v>
      </c>
      <c r="C21" s="1" t="s">
        <v>88</v>
      </c>
      <c r="D21" s="1" t="s">
        <v>89</v>
      </c>
      <c r="E21" s="1" t="s">
        <v>90</v>
      </c>
      <c r="F21" s="4" t="s">
        <v>69</v>
      </c>
      <c r="G21" s="4">
        <v>16</v>
      </c>
      <c r="H21" s="1" t="s">
        <v>85</v>
      </c>
      <c r="I21" s="4" t="str">
        <f>COUNTIF('Product Backlog'!$B$6:$B$76,$A21)</f>
        <v>0</v>
      </c>
      <c r="J21" s="4" t="str">
        <f>SUMIF('Product Backlog'!$B$6:$B$76,$A21,'Product Backlog'!$I$6:$I$76)</f>
        <v>0</v>
      </c>
    </row>
    <row r="22" spans="1:10" customHeight="1" ht="51.75">
      <c r="A22" s="3" t="s">
        <v>91</v>
      </c>
      <c r="B22" s="1" t="s">
        <v>92</v>
      </c>
      <c r="C22" s="1" t="s">
        <v>93</v>
      </c>
      <c r="D22" s="1" t="s">
        <v>94</v>
      </c>
      <c r="E22" s="1" t="s">
        <v>95</v>
      </c>
      <c r="F22" s="4" t="s">
        <v>69</v>
      </c>
      <c r="G22" s="4">
        <v>17</v>
      </c>
      <c r="H22" s="1" t="s">
        <v>85</v>
      </c>
      <c r="I22" s="4" t="str">
        <f>COUNTIF('Product Backlog'!$B$6:$B$76,$A22)</f>
        <v>0</v>
      </c>
      <c r="J22" s="4" t="str">
        <f>SUMIF('Product Backlog'!$B$6:$B$76,$A22,'Product Backlog'!$I$6:$I$76)</f>
        <v>0</v>
      </c>
    </row>
    <row r="23" spans="1:10" customHeight="1" ht="51.75">
      <c r="A23" s="3" t="s">
        <v>96</v>
      </c>
      <c r="B23" s="1" t="s">
        <v>97</v>
      </c>
      <c r="C23" s="1" t="s">
        <v>14</v>
      </c>
      <c r="D23" s="1" t="s">
        <v>98</v>
      </c>
      <c r="E23" s="1" t="s">
        <v>99</v>
      </c>
      <c r="F23" s="4" t="s">
        <v>100</v>
      </c>
      <c r="G23" s="4">
        <v>18</v>
      </c>
      <c r="H23" s="1" t="s">
        <v>85</v>
      </c>
      <c r="I23" s="4" t="str">
        <f>COUNTIF('Product Backlog'!$B$6:$B$76,$A23)</f>
        <v>0</v>
      </c>
      <c r="J23" s="4" t="str">
        <f>SUMIF('Product Backlog'!$B$6:$B$76,$A23,'Product Backlog'!$I$6:$I$76)</f>
        <v>0</v>
      </c>
    </row>
    <row r="24" spans="1:10" customHeight="1" ht="51.75">
      <c r="A24" s="3" t="s">
        <v>101</v>
      </c>
      <c r="B24" s="1" t="s">
        <v>102</v>
      </c>
      <c r="C24" s="1" t="s">
        <v>103</v>
      </c>
      <c r="D24" s="1" t="s">
        <v>104</v>
      </c>
      <c r="E24" s="1" t="s">
        <v>105</v>
      </c>
      <c r="F24" s="4" t="s">
        <v>17</v>
      </c>
      <c r="G24" s="4">
        <v>19</v>
      </c>
      <c r="H24" s="1" t="s">
        <v>103</v>
      </c>
      <c r="I24" s="4" t="str">
        <f>COUNTIF('Product Backlog'!$B$6:$B$76,$A24)</f>
        <v>0</v>
      </c>
      <c r="J24" s="4" t="str">
        <f>SUMIF('Product Backlog'!$B$6:$B$76,$A24,'Product Backlog'!$I$6:$I$76)</f>
        <v>0</v>
      </c>
    </row>
    <row r="25" spans="1:10" customHeight="1" ht="51.75">
      <c r="A25" s="3" t="s">
        <v>106</v>
      </c>
      <c r="B25" s="1" t="s">
        <v>107</v>
      </c>
      <c r="C25" s="1" t="s">
        <v>103</v>
      </c>
      <c r="D25" s="1" t="s">
        <v>108</v>
      </c>
      <c r="E25" s="1" t="s">
        <v>109</v>
      </c>
      <c r="F25" s="4" t="s">
        <v>17</v>
      </c>
      <c r="G25" s="4">
        <v>20</v>
      </c>
      <c r="H25" s="1" t="s">
        <v>103</v>
      </c>
      <c r="I25" s="4" t="str">
        <f>COUNTIF('Product Backlog'!$B$6:$B$76,$A25)</f>
        <v>0</v>
      </c>
      <c r="J25" s="4" t="str">
        <f>SUMIF('Product Backlog'!$B$6:$B$76,$A25,'Product Backlog'!$I$6:$I$76)</f>
        <v>0</v>
      </c>
    </row>
    <row r="26" spans="1:10" customHeight="1" ht="51.75">
      <c r="A26" s="3" t="s">
        <v>110</v>
      </c>
      <c r="B26" s="1" t="s">
        <v>111</v>
      </c>
      <c r="C26" s="1" t="s">
        <v>103</v>
      </c>
      <c r="D26" s="1" t="s">
        <v>112</v>
      </c>
      <c r="E26" s="1" t="s">
        <v>113</v>
      </c>
      <c r="F26" s="4" t="s">
        <v>17</v>
      </c>
      <c r="G26" s="4">
        <v>21</v>
      </c>
      <c r="H26" s="1" t="s">
        <v>103</v>
      </c>
      <c r="I26" s="4" t="str">
        <f>COUNTIF('Product Backlog'!$B$6:$B$76,$A26)</f>
        <v>0</v>
      </c>
      <c r="J26" s="4" t="str">
        <f>SUMIF('Product Backlog'!$B$6:$B$76,$A26,'Product Backlog'!$I$6:$I$76)</f>
        <v>0</v>
      </c>
    </row>
    <row r="27" spans="1:10" customHeight="1" ht="14.25">
      <c r="A27" s="5"/>
      <c r="B27" s="5" t="s">
        <v>114</v>
      </c>
      <c r="C27" s="5"/>
      <c r="D27" s="5"/>
      <c r="E27" s="5"/>
      <c r="F27" s="5"/>
      <c r="G27" s="5"/>
      <c r="H27" s="5"/>
      <c r="I27" s="6" t="str">
        <f>SUM(I6:I26)</f>
        <v>0</v>
      </c>
      <c r="J27" s="6" t="str">
        <f>SUM(J6:J26)</f>
        <v>0</v>
      </c>
    </row>
  </sheetData>
  <autoFilter ref="A5:J26"/>
  <mergeCells>
    <mergeCell ref="A1:J1"/>
    <mergeCell ref="A2:J2"/>
  </mergeCells>
  <printOptions gridLines="false" gridLinesSet="true"/>
  <pageMargins left="0.75" right="0.75" top="1" bottom="1" header="0.51181102362205" footer="0.51181102362205"/>
  <pageSetup paperSize="9" orientation="portrai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tabColor rgb="FF9E2B25"/>
    <outlinePr summaryBelow="1" summaryRight="1"/>
  </sheetPr>
  <dimension ref="A1:N93"/>
  <sheetViews>
    <sheetView tabSelected="0" workbookViewId="0" zoomScale="85" zoomScaleNormal="85" showGridLines="false" showRowColHeaders="1">
      <pane ySplit="3" topLeftCell="A28" activePane="bottomLeft" state="frozen"/>
      <selection pane="bottomLeft" activeCell="I91" sqref="I91"/>
    </sheetView>
  </sheetViews>
  <sheetFormatPr defaultRowHeight="14.4" defaultColWidth="8.6640625" outlineLevelRow="0" outlineLevelCol="0"/>
  <cols>
    <col min="1" max="1" width="10" customWidth="true" style="0"/>
    <col min="2" max="2" width="9" customWidth="true" style="0"/>
    <col min="3" max="3" width="30" customWidth="true" style="0"/>
    <col min="4" max="4" width="16" customWidth="true" style="0"/>
    <col min="5" max="5" width="18" customWidth="true" style="0"/>
    <col min="6" max="6" width="72" customWidth="true" style="0"/>
    <col min="7" max="7" width="88" customWidth="true" style="0"/>
    <col min="8" max="8" width="14" customWidth="true" style="0"/>
    <col min="9" max="9" width="11" customWidth="true" style="0"/>
    <col min="10" max="10" width="11" customWidth="true" style="0"/>
    <col min="11" max="11" width="9" customWidth="true" style="0"/>
    <col min="12" max="12" width="14" customWidth="true" style="0"/>
    <col min="13" max="13" width="8" customWidth="true" style="0"/>
    <col min="14" max="14" width="13" customWidth="true" style="0"/>
  </cols>
  <sheetData>
    <row r="1" spans="1:14" customHeight="1" ht="25.5">
      <c r="A1" s="38" t="s">
        <v>115</v>
      </c>
      <c r="B1" s="39"/>
      <c r="C1" s="39"/>
      <c r="D1" s="39"/>
      <c r="E1" s="39"/>
      <c r="F1" s="39"/>
      <c r="G1" s="39"/>
      <c r="H1" s="39"/>
      <c r="I1" s="39"/>
      <c r="J1" s="39"/>
      <c r="K1" s="39"/>
      <c r="L1" s="39"/>
      <c r="M1" s="39"/>
      <c r="N1" s="39"/>
    </row>
    <row r="2" spans="1:14" customHeight="1" ht="14.25">
      <c r="A2" s="40" t="s">
        <v>116</v>
      </c>
      <c r="B2" s="39"/>
      <c r="C2" s="39"/>
      <c r="D2" s="39"/>
      <c r="E2" s="39"/>
      <c r="F2" s="39"/>
      <c r="G2" s="39"/>
      <c r="H2" s="39"/>
      <c r="I2" s="39"/>
      <c r="J2" s="39"/>
      <c r="K2" s="39"/>
      <c r="L2" s="39"/>
      <c r="M2" s="39"/>
      <c r="N2" s="39"/>
    </row>
    <row r="5" spans="1:14" customHeight="1" ht="36">
      <c r="A5" s="2" t="s">
        <v>117</v>
      </c>
      <c r="B5" s="2" t="s">
        <v>3</v>
      </c>
      <c r="C5" s="2" t="s">
        <v>118</v>
      </c>
      <c r="D5" s="2" t="s">
        <v>119</v>
      </c>
      <c r="E5" s="2" t="s">
        <v>120</v>
      </c>
      <c r="F5" s="2" t="s">
        <v>121</v>
      </c>
      <c r="G5" s="2" t="s">
        <v>122</v>
      </c>
      <c r="H5" s="2" t="s">
        <v>7</v>
      </c>
      <c r="I5" s="2" t="s">
        <v>11</v>
      </c>
      <c r="J5" s="2" t="s">
        <v>123</v>
      </c>
      <c r="K5" s="2" t="s">
        <v>124</v>
      </c>
      <c r="L5" s="2" t="s">
        <v>125</v>
      </c>
      <c r="M5" s="2" t="s">
        <v>126</v>
      </c>
      <c r="N5" s="2" t="s">
        <v>127</v>
      </c>
    </row>
    <row r="6" spans="1:14" customHeight="1" ht="78">
      <c r="A6" s="7" t="s">
        <v>128</v>
      </c>
      <c r="B6" s="1" t="s">
        <v>12</v>
      </c>
      <c r="C6" s="1" t="s">
        <v>14</v>
      </c>
      <c r="D6" s="1" t="s">
        <v>129</v>
      </c>
      <c r="E6" s="1" t="s">
        <v>130</v>
      </c>
      <c r="F6" s="8" t="s">
        <v>131</v>
      </c>
      <c r="G6" s="9" t="s">
        <v>132</v>
      </c>
      <c r="H6" s="4" t="s">
        <v>17</v>
      </c>
      <c r="I6" s="4">
        <v>5</v>
      </c>
      <c r="J6" s="4" t="s">
        <v>133</v>
      </c>
      <c r="K6" s="4" t="s">
        <v>134</v>
      </c>
      <c r="L6" s="1" t="s">
        <v>135</v>
      </c>
      <c r="M6" s="4" t="s">
        <v>136</v>
      </c>
      <c r="N6" s="4" t="s">
        <v>137</v>
      </c>
    </row>
    <row r="7" spans="1:14" customHeight="1" ht="78">
      <c r="A7" s="7" t="s">
        <v>138</v>
      </c>
      <c r="B7" s="1" t="s">
        <v>12</v>
      </c>
      <c r="C7" s="1" t="s">
        <v>14</v>
      </c>
      <c r="D7" s="1" t="s">
        <v>129</v>
      </c>
      <c r="E7" s="1" t="s">
        <v>139</v>
      </c>
      <c r="F7" s="1" t="s">
        <v>140</v>
      </c>
      <c r="G7" s="9" t="s">
        <v>141</v>
      </c>
      <c r="H7" s="4" t="s">
        <v>17</v>
      </c>
      <c r="I7" s="4">
        <v>5</v>
      </c>
      <c r="J7" s="4" t="s">
        <v>133</v>
      </c>
      <c r="K7" s="4" t="s">
        <v>134</v>
      </c>
      <c r="L7" s="1" t="s">
        <v>135</v>
      </c>
      <c r="M7" s="4" t="s">
        <v>136</v>
      </c>
      <c r="N7" s="4" t="s">
        <v>137</v>
      </c>
    </row>
    <row r="8" spans="1:14" customHeight="1" ht="78">
      <c r="A8" s="7" t="s">
        <v>142</v>
      </c>
      <c r="B8" s="1" t="s">
        <v>12</v>
      </c>
      <c r="C8" s="1" t="s">
        <v>14</v>
      </c>
      <c r="D8" s="1" t="s">
        <v>129</v>
      </c>
      <c r="E8" s="1" t="s">
        <v>139</v>
      </c>
      <c r="F8" s="1" t="s">
        <v>143</v>
      </c>
      <c r="G8" s="9" t="s">
        <v>144</v>
      </c>
      <c r="H8" s="4" t="s">
        <v>17</v>
      </c>
      <c r="I8" s="4">
        <v>3</v>
      </c>
      <c r="J8" s="4" t="s">
        <v>133</v>
      </c>
      <c r="K8" s="4" t="s">
        <v>134</v>
      </c>
      <c r="L8" s="1" t="s">
        <v>135</v>
      </c>
      <c r="M8" s="4" t="s">
        <v>136</v>
      </c>
      <c r="N8" s="4" t="s">
        <v>137</v>
      </c>
    </row>
    <row r="9" spans="1:14" customHeight="1" ht="78">
      <c r="A9" s="7" t="s">
        <v>145</v>
      </c>
      <c r="B9" s="1" t="s">
        <v>12</v>
      </c>
      <c r="C9" s="1" t="s">
        <v>14</v>
      </c>
      <c r="D9" s="1" t="s">
        <v>129</v>
      </c>
      <c r="E9" s="1" t="s">
        <v>139</v>
      </c>
      <c r="F9" s="1" t="s">
        <v>146</v>
      </c>
      <c r="G9" s="9" t="s">
        <v>147</v>
      </c>
      <c r="H9" s="4" t="s">
        <v>69</v>
      </c>
      <c r="I9" s="4">
        <v>8</v>
      </c>
      <c r="J9" s="4" t="s">
        <v>148</v>
      </c>
      <c r="K9" s="4" t="s">
        <v>149</v>
      </c>
      <c r="L9" s="1" t="s">
        <v>135</v>
      </c>
      <c r="M9" s="4" t="s">
        <v>136</v>
      </c>
      <c r="N9" s="4" t="s">
        <v>137</v>
      </c>
    </row>
    <row r="10" spans="1:14" customHeight="1" ht="78">
      <c r="A10" s="7" t="s">
        <v>150</v>
      </c>
      <c r="B10" s="1" t="s">
        <v>12</v>
      </c>
      <c r="C10" s="1" t="s">
        <v>14</v>
      </c>
      <c r="D10" s="1" t="s">
        <v>129</v>
      </c>
      <c r="E10" s="1" t="s">
        <v>151</v>
      </c>
      <c r="F10" s="1" t="s">
        <v>152</v>
      </c>
      <c r="G10" s="9" t="s">
        <v>153</v>
      </c>
      <c r="H10" s="4" t="s">
        <v>17</v>
      </c>
      <c r="I10" s="4">
        <v>5</v>
      </c>
      <c r="J10" s="4" t="s">
        <v>154</v>
      </c>
      <c r="K10" s="4" t="s">
        <v>155</v>
      </c>
      <c r="L10" s="1" t="s">
        <v>135</v>
      </c>
      <c r="M10" s="4" t="s">
        <v>136</v>
      </c>
      <c r="N10" s="4" t="s">
        <v>137</v>
      </c>
    </row>
    <row r="11" spans="1:14" customHeight="1" ht="78">
      <c r="A11" s="7" t="s">
        <v>156</v>
      </c>
      <c r="B11" s="1" t="s">
        <v>12</v>
      </c>
      <c r="C11" s="1" t="s">
        <v>14</v>
      </c>
      <c r="D11" s="1" t="s">
        <v>129</v>
      </c>
      <c r="E11" s="1" t="s">
        <v>151</v>
      </c>
      <c r="F11" s="1" t="s">
        <v>157</v>
      </c>
      <c r="G11" s="9" t="s">
        <v>158</v>
      </c>
      <c r="H11" s="4" t="s">
        <v>69</v>
      </c>
      <c r="I11" s="4">
        <v>3</v>
      </c>
      <c r="J11" s="4" t="s">
        <v>148</v>
      </c>
      <c r="K11" s="4" t="s">
        <v>149</v>
      </c>
      <c r="L11" s="1" t="s">
        <v>159</v>
      </c>
      <c r="M11" s="4" t="s">
        <v>136</v>
      </c>
      <c r="N11" s="4" t="s">
        <v>137</v>
      </c>
    </row>
    <row r="12" spans="1:14" customHeight="1" ht="78">
      <c r="A12" s="7" t="s">
        <v>160</v>
      </c>
      <c r="B12" s="1" t="s">
        <v>12</v>
      </c>
      <c r="C12" s="1" t="s">
        <v>14</v>
      </c>
      <c r="D12" s="1" t="s">
        <v>161</v>
      </c>
      <c r="E12" s="1" t="s">
        <v>130</v>
      </c>
      <c r="F12" s="1" t="s">
        <v>162</v>
      </c>
      <c r="G12" s="9" t="s">
        <v>163</v>
      </c>
      <c r="H12" s="4" t="s">
        <v>17</v>
      </c>
      <c r="I12" s="4">
        <v>3</v>
      </c>
      <c r="J12" s="4" t="s">
        <v>133</v>
      </c>
      <c r="K12" s="4" t="s">
        <v>134</v>
      </c>
      <c r="L12" s="1" t="s">
        <v>135</v>
      </c>
      <c r="M12" s="4" t="s">
        <v>136</v>
      </c>
      <c r="N12" s="4" t="s">
        <v>137</v>
      </c>
    </row>
    <row r="13" spans="1:14" customHeight="1" ht="78">
      <c r="A13" s="3" t="s">
        <v>164</v>
      </c>
      <c r="B13" s="1" t="s">
        <v>12</v>
      </c>
      <c r="C13" s="1" t="s">
        <v>14</v>
      </c>
      <c r="D13" s="1" t="s">
        <v>129</v>
      </c>
      <c r="E13" s="1" t="s">
        <v>165</v>
      </c>
      <c r="F13" s="1" t="s">
        <v>166</v>
      </c>
      <c r="G13" s="9" t="s">
        <v>167</v>
      </c>
      <c r="H13" s="4" t="s">
        <v>69</v>
      </c>
      <c r="I13" s="4">
        <v>3</v>
      </c>
      <c r="J13" s="4" t="s">
        <v>148</v>
      </c>
      <c r="K13" s="4" t="s">
        <v>149</v>
      </c>
      <c r="L13" s="1" t="s">
        <v>159</v>
      </c>
      <c r="M13" s="4" t="s">
        <v>136</v>
      </c>
      <c r="N13" s="4" t="s">
        <v>137</v>
      </c>
    </row>
    <row r="14" spans="1:14" customHeight="1" ht="78">
      <c r="A14" s="3" t="s">
        <v>168</v>
      </c>
      <c r="B14" s="1" t="s">
        <v>12</v>
      </c>
      <c r="C14" s="1" t="s">
        <v>14</v>
      </c>
      <c r="D14" s="1" t="s">
        <v>129</v>
      </c>
      <c r="E14" s="1" t="s">
        <v>139</v>
      </c>
      <c r="F14" s="1" t="s">
        <v>169</v>
      </c>
      <c r="G14" s="9" t="s">
        <v>170</v>
      </c>
      <c r="H14" s="4" t="s">
        <v>69</v>
      </c>
      <c r="I14" s="4">
        <v>3</v>
      </c>
      <c r="J14" s="4" t="s">
        <v>148</v>
      </c>
      <c r="K14" s="4" t="s">
        <v>149</v>
      </c>
      <c r="L14" s="1" t="s">
        <v>135</v>
      </c>
      <c r="M14" s="4" t="s">
        <v>136</v>
      </c>
      <c r="N14" s="4" t="s">
        <v>137</v>
      </c>
    </row>
    <row r="15" spans="1:14" customHeight="1" ht="78">
      <c r="A15" s="3" t="s">
        <v>171</v>
      </c>
      <c r="B15" s="1" t="s">
        <v>12</v>
      </c>
      <c r="C15" s="1" t="s">
        <v>14</v>
      </c>
      <c r="D15" s="1" t="s">
        <v>129</v>
      </c>
      <c r="E15" s="1" t="s">
        <v>172</v>
      </c>
      <c r="F15" s="1" t="s">
        <v>173</v>
      </c>
      <c r="G15" s="9" t="s">
        <v>174</v>
      </c>
      <c r="H15" s="4" t="s">
        <v>100</v>
      </c>
      <c r="I15" s="4">
        <v>3</v>
      </c>
      <c r="J15" s="4" t="s">
        <v>175</v>
      </c>
      <c r="K15" s="4" t="s">
        <v>149</v>
      </c>
      <c r="L15" s="1" t="s">
        <v>135</v>
      </c>
      <c r="M15" s="4" t="s">
        <v>136</v>
      </c>
      <c r="N15" s="4" t="s">
        <v>137</v>
      </c>
    </row>
    <row r="16" spans="1:14" customHeight="1" ht="78">
      <c r="A16" s="3" t="s">
        <v>176</v>
      </c>
      <c r="B16" s="1" t="s">
        <v>12</v>
      </c>
      <c r="C16" s="1" t="s">
        <v>14</v>
      </c>
      <c r="D16" s="1" t="s">
        <v>129</v>
      </c>
      <c r="E16" s="1" t="s">
        <v>177</v>
      </c>
      <c r="F16" s="1" t="s">
        <v>178</v>
      </c>
      <c r="G16" s="9" t="s">
        <v>179</v>
      </c>
      <c r="H16" s="4" t="s">
        <v>69</v>
      </c>
      <c r="I16" s="4">
        <v>3</v>
      </c>
      <c r="J16" s="4" t="s">
        <v>175</v>
      </c>
      <c r="K16" s="4" t="s">
        <v>149</v>
      </c>
      <c r="L16" s="1" t="s">
        <v>135</v>
      </c>
      <c r="M16" s="4" t="s">
        <v>136</v>
      </c>
      <c r="N16" s="4" t="s">
        <v>137</v>
      </c>
    </row>
    <row r="17" spans="1:14" customHeight="1" ht="78">
      <c r="A17" s="3" t="s">
        <v>180</v>
      </c>
      <c r="B17" s="1" t="s">
        <v>12</v>
      </c>
      <c r="C17" s="1" t="s">
        <v>14</v>
      </c>
      <c r="D17" s="1" t="s">
        <v>129</v>
      </c>
      <c r="E17" s="1" t="s">
        <v>177</v>
      </c>
      <c r="F17" s="1" t="s">
        <v>181</v>
      </c>
      <c r="G17" s="9" t="s">
        <v>182</v>
      </c>
      <c r="H17" s="4" t="s">
        <v>100</v>
      </c>
      <c r="I17" s="4">
        <v>3</v>
      </c>
      <c r="J17" s="4" t="s">
        <v>175</v>
      </c>
      <c r="K17" s="4" t="s">
        <v>149</v>
      </c>
      <c r="L17" s="1" t="s">
        <v>159</v>
      </c>
      <c r="M17" s="4" t="s">
        <v>136</v>
      </c>
      <c r="N17" s="4" t="s">
        <v>137</v>
      </c>
    </row>
    <row r="18" spans="1:14" customHeight="1" ht="78">
      <c r="A18" s="3" t="s">
        <v>183</v>
      </c>
      <c r="B18" s="1" t="s">
        <v>19</v>
      </c>
      <c r="C18" s="1" t="s">
        <v>21</v>
      </c>
      <c r="D18" s="1" t="s">
        <v>129</v>
      </c>
      <c r="E18" s="1" t="s">
        <v>184</v>
      </c>
      <c r="F18" s="1" t="s">
        <v>185</v>
      </c>
      <c r="G18" s="9" t="s">
        <v>186</v>
      </c>
      <c r="H18" s="4" t="s">
        <v>17</v>
      </c>
      <c r="I18" s="4">
        <v>5</v>
      </c>
      <c r="J18" s="4" t="s">
        <v>187</v>
      </c>
      <c r="K18" s="4" t="s">
        <v>188</v>
      </c>
      <c r="L18" s="1" t="s">
        <v>135</v>
      </c>
      <c r="M18" s="4" t="s">
        <v>136</v>
      </c>
      <c r="N18" s="4" t="s">
        <v>137</v>
      </c>
    </row>
    <row r="19" spans="1:14" customHeight="1" ht="78">
      <c r="A19" s="3" t="s">
        <v>189</v>
      </c>
      <c r="B19" s="1" t="s">
        <v>19</v>
      </c>
      <c r="C19" s="1" t="s">
        <v>21</v>
      </c>
      <c r="D19" s="1" t="s">
        <v>129</v>
      </c>
      <c r="E19" s="1" t="s">
        <v>184</v>
      </c>
      <c r="F19" s="1" t="s">
        <v>190</v>
      </c>
      <c r="G19" s="9" t="s">
        <v>191</v>
      </c>
      <c r="H19" s="4" t="s">
        <v>17</v>
      </c>
      <c r="I19" s="4">
        <v>8</v>
      </c>
      <c r="J19" s="4" t="s">
        <v>187</v>
      </c>
      <c r="K19" s="4" t="s">
        <v>188</v>
      </c>
      <c r="L19" s="1" t="s">
        <v>135</v>
      </c>
      <c r="M19" s="4" t="s">
        <v>136</v>
      </c>
      <c r="N19" s="4" t="s">
        <v>137</v>
      </c>
    </row>
    <row r="20" spans="1:14" customHeight="1" ht="78">
      <c r="A20" s="3" t="s">
        <v>192</v>
      </c>
      <c r="B20" s="1" t="s">
        <v>19</v>
      </c>
      <c r="C20" s="1" t="s">
        <v>21</v>
      </c>
      <c r="D20" s="1" t="s">
        <v>129</v>
      </c>
      <c r="E20" s="1" t="s">
        <v>184</v>
      </c>
      <c r="F20" s="1" t="s">
        <v>193</v>
      </c>
      <c r="G20" s="9" t="s">
        <v>194</v>
      </c>
      <c r="H20" s="4" t="s">
        <v>17</v>
      </c>
      <c r="I20" s="4">
        <v>3</v>
      </c>
      <c r="J20" s="4" t="s">
        <v>187</v>
      </c>
      <c r="K20" s="4" t="s">
        <v>188</v>
      </c>
      <c r="L20" s="1" t="s">
        <v>135</v>
      </c>
      <c r="M20" s="4" t="s">
        <v>136</v>
      </c>
      <c r="N20" s="4" t="s">
        <v>137</v>
      </c>
    </row>
    <row r="21" spans="1:14" customHeight="1" ht="78">
      <c r="A21" s="3" t="s">
        <v>195</v>
      </c>
      <c r="B21" s="1" t="s">
        <v>19</v>
      </c>
      <c r="C21" s="1" t="s">
        <v>21</v>
      </c>
      <c r="D21" s="1" t="s">
        <v>129</v>
      </c>
      <c r="E21" s="1" t="s">
        <v>184</v>
      </c>
      <c r="F21" s="1" t="s">
        <v>196</v>
      </c>
      <c r="G21" s="9" t="s">
        <v>197</v>
      </c>
      <c r="H21" s="4" t="s">
        <v>17</v>
      </c>
      <c r="I21" s="4">
        <v>3</v>
      </c>
      <c r="J21" s="4" t="s">
        <v>187</v>
      </c>
      <c r="K21" s="4" t="s">
        <v>188</v>
      </c>
      <c r="L21" s="1" t="s">
        <v>135</v>
      </c>
      <c r="M21" s="4" t="s">
        <v>136</v>
      </c>
      <c r="N21" s="4" t="s">
        <v>137</v>
      </c>
    </row>
    <row r="22" spans="1:14" customHeight="1" ht="78">
      <c r="A22" s="3" t="s">
        <v>198</v>
      </c>
      <c r="B22" s="1" t="s">
        <v>19</v>
      </c>
      <c r="C22" s="1" t="s">
        <v>21</v>
      </c>
      <c r="D22" s="1" t="s">
        <v>129</v>
      </c>
      <c r="E22" s="1" t="s">
        <v>184</v>
      </c>
      <c r="F22" s="1" t="s">
        <v>199</v>
      </c>
      <c r="G22" s="9" t="s">
        <v>200</v>
      </c>
      <c r="H22" s="4" t="s">
        <v>17</v>
      </c>
      <c r="I22" s="4">
        <v>3</v>
      </c>
      <c r="J22" s="4" t="s">
        <v>187</v>
      </c>
      <c r="K22" s="4" t="s">
        <v>188</v>
      </c>
      <c r="L22" s="1" t="s">
        <v>135</v>
      </c>
      <c r="M22" s="4" t="s">
        <v>136</v>
      </c>
      <c r="N22" s="4" t="s">
        <v>137</v>
      </c>
    </row>
    <row r="23" spans="1:14" customHeight="1" ht="78">
      <c r="A23" s="3" t="s">
        <v>201</v>
      </c>
      <c r="B23" s="1" t="s">
        <v>19</v>
      </c>
      <c r="C23" s="1" t="s">
        <v>21</v>
      </c>
      <c r="D23" s="1" t="s">
        <v>129</v>
      </c>
      <c r="E23" s="1" t="s">
        <v>184</v>
      </c>
      <c r="F23" s="1" t="s">
        <v>202</v>
      </c>
      <c r="G23" s="9" t="s">
        <v>203</v>
      </c>
      <c r="H23" s="4" t="s">
        <v>17</v>
      </c>
      <c r="I23" s="4">
        <v>5</v>
      </c>
      <c r="J23" s="4" t="s">
        <v>204</v>
      </c>
      <c r="K23" s="4" t="s">
        <v>188</v>
      </c>
      <c r="L23" s="1" t="s">
        <v>135</v>
      </c>
      <c r="M23" s="4" t="s">
        <v>136</v>
      </c>
      <c r="N23" s="4" t="s">
        <v>137</v>
      </c>
    </row>
    <row r="24" spans="1:14" customHeight="1" ht="78">
      <c r="A24" s="3" t="s">
        <v>205</v>
      </c>
      <c r="B24" s="1" t="s">
        <v>19</v>
      </c>
      <c r="C24" s="1" t="s">
        <v>21</v>
      </c>
      <c r="D24" s="1" t="s">
        <v>129</v>
      </c>
      <c r="E24" s="1" t="s">
        <v>184</v>
      </c>
      <c r="F24" s="1" t="s">
        <v>206</v>
      </c>
      <c r="G24" s="9" t="s">
        <v>207</v>
      </c>
      <c r="H24" s="4" t="s">
        <v>17</v>
      </c>
      <c r="I24" s="4">
        <v>3</v>
      </c>
      <c r="J24" s="4" t="s">
        <v>204</v>
      </c>
      <c r="K24" s="4" t="s">
        <v>188</v>
      </c>
      <c r="L24" s="1" t="s">
        <v>135</v>
      </c>
      <c r="M24" s="4" t="s">
        <v>136</v>
      </c>
      <c r="N24" s="4" t="s">
        <v>137</v>
      </c>
    </row>
    <row r="25" spans="1:14" customHeight="1" ht="78">
      <c r="A25" s="3" t="s">
        <v>208</v>
      </c>
      <c r="B25" s="1" t="s">
        <v>19</v>
      </c>
      <c r="C25" s="1" t="s">
        <v>21</v>
      </c>
      <c r="D25" s="1" t="s">
        <v>129</v>
      </c>
      <c r="E25" s="1" t="s">
        <v>184</v>
      </c>
      <c r="F25" s="10" t="s">
        <v>209</v>
      </c>
      <c r="G25" s="9" t="s">
        <v>210</v>
      </c>
      <c r="H25" s="4" t="s">
        <v>69</v>
      </c>
      <c r="I25" s="4">
        <v>5</v>
      </c>
      <c r="J25" s="4" t="s">
        <v>204</v>
      </c>
      <c r="K25" s="4" t="s">
        <v>188</v>
      </c>
      <c r="L25" s="1" t="s">
        <v>135</v>
      </c>
      <c r="M25" s="4" t="s">
        <v>136</v>
      </c>
      <c r="N25" s="4" t="s">
        <v>137</v>
      </c>
    </row>
    <row r="26" spans="1:14" customHeight="1" ht="78">
      <c r="A26" s="3" t="s">
        <v>211</v>
      </c>
      <c r="B26" s="1" t="s">
        <v>19</v>
      </c>
      <c r="C26" s="1" t="s">
        <v>21</v>
      </c>
      <c r="D26" s="1" t="s">
        <v>129</v>
      </c>
      <c r="E26" s="1" t="s">
        <v>184</v>
      </c>
      <c r="F26" s="1" t="s">
        <v>212</v>
      </c>
      <c r="G26" s="9" t="s">
        <v>213</v>
      </c>
      <c r="H26" s="4" t="s">
        <v>17</v>
      </c>
      <c r="I26" s="4">
        <v>5</v>
      </c>
      <c r="J26" s="4" t="s">
        <v>204</v>
      </c>
      <c r="K26" s="4" t="s">
        <v>188</v>
      </c>
      <c r="L26" s="1" t="s">
        <v>135</v>
      </c>
      <c r="M26" s="4" t="s">
        <v>136</v>
      </c>
      <c r="N26" s="4" t="s">
        <v>137</v>
      </c>
    </row>
    <row r="27" spans="1:14" customHeight="1" ht="78">
      <c r="A27" s="3" t="s">
        <v>214</v>
      </c>
      <c r="B27" s="1" t="s">
        <v>19</v>
      </c>
      <c r="C27" s="1" t="s">
        <v>21</v>
      </c>
      <c r="D27" s="1" t="s">
        <v>129</v>
      </c>
      <c r="E27" s="1" t="s">
        <v>184</v>
      </c>
      <c r="F27" s="1" t="s">
        <v>215</v>
      </c>
      <c r="G27" s="9" t="s">
        <v>216</v>
      </c>
      <c r="H27" s="4" t="s">
        <v>17</v>
      </c>
      <c r="I27" s="4">
        <v>5</v>
      </c>
      <c r="J27" s="4" t="s">
        <v>217</v>
      </c>
      <c r="K27" s="4" t="s">
        <v>188</v>
      </c>
      <c r="L27" s="1" t="s">
        <v>135</v>
      </c>
      <c r="M27" s="4" t="s">
        <v>136</v>
      </c>
      <c r="N27" s="4" t="s">
        <v>137</v>
      </c>
    </row>
    <row r="28" spans="1:14" customHeight="1" ht="78">
      <c r="A28" s="3" t="s">
        <v>218</v>
      </c>
      <c r="B28" s="1" t="s">
        <v>19</v>
      </c>
      <c r="C28" s="1" t="s">
        <v>21</v>
      </c>
      <c r="D28" s="1" t="s">
        <v>129</v>
      </c>
      <c r="E28" s="1" t="s">
        <v>184</v>
      </c>
      <c r="F28" s="1" t="s">
        <v>219</v>
      </c>
      <c r="G28" s="9" t="s">
        <v>220</v>
      </c>
      <c r="H28" s="4" t="s">
        <v>17</v>
      </c>
      <c r="I28" s="4">
        <v>5</v>
      </c>
      <c r="J28" s="4" t="s">
        <v>204</v>
      </c>
      <c r="K28" s="4" t="s">
        <v>188</v>
      </c>
      <c r="L28" s="1" t="s">
        <v>135</v>
      </c>
      <c r="M28" s="4" t="s">
        <v>136</v>
      </c>
      <c r="N28" s="4" t="s">
        <v>137</v>
      </c>
    </row>
    <row r="29" spans="1:14" customHeight="1" ht="78">
      <c r="A29" s="3" t="s">
        <v>221</v>
      </c>
      <c r="B29" s="1" t="s">
        <v>24</v>
      </c>
      <c r="C29" s="1" t="s">
        <v>21</v>
      </c>
      <c r="D29" s="1" t="s">
        <v>129</v>
      </c>
      <c r="E29" s="1" t="s">
        <v>222</v>
      </c>
      <c r="F29" s="11" t="s">
        <v>223</v>
      </c>
      <c r="G29" s="9" t="s">
        <v>224</v>
      </c>
      <c r="H29" s="4" t="s">
        <v>17</v>
      </c>
      <c r="I29" s="4">
        <v>2</v>
      </c>
      <c r="J29" s="4" t="s">
        <v>133</v>
      </c>
      <c r="K29" s="4" t="s">
        <v>134</v>
      </c>
      <c r="L29" s="1" t="s">
        <v>135</v>
      </c>
      <c r="M29" s="4" t="s">
        <v>136</v>
      </c>
      <c r="N29" s="4" t="s">
        <v>137</v>
      </c>
    </row>
    <row r="30" spans="1:14" customHeight="1" ht="78">
      <c r="A30" s="3" t="s">
        <v>225</v>
      </c>
      <c r="B30" s="1" t="s">
        <v>24</v>
      </c>
      <c r="C30" s="1" t="s">
        <v>21</v>
      </c>
      <c r="D30" s="1" t="s">
        <v>129</v>
      </c>
      <c r="E30" s="1" t="s">
        <v>222</v>
      </c>
      <c r="F30" s="11" t="s">
        <v>226</v>
      </c>
      <c r="G30" s="9" t="s">
        <v>227</v>
      </c>
      <c r="H30" s="4" t="s">
        <v>17</v>
      </c>
      <c r="I30" s="4">
        <v>2</v>
      </c>
      <c r="J30" s="4" t="s">
        <v>187</v>
      </c>
      <c r="K30" s="4" t="s">
        <v>188</v>
      </c>
      <c r="L30" s="1" t="s">
        <v>135</v>
      </c>
      <c r="M30" s="4" t="s">
        <v>136</v>
      </c>
      <c r="N30" s="4" t="s">
        <v>137</v>
      </c>
    </row>
    <row r="31" spans="1:14" customHeight="1" ht="78">
      <c r="A31" s="3" t="s">
        <v>228</v>
      </c>
      <c r="B31" s="1" t="s">
        <v>24</v>
      </c>
      <c r="C31" s="1" t="s">
        <v>21</v>
      </c>
      <c r="D31" s="1" t="s">
        <v>129</v>
      </c>
      <c r="E31" s="1" t="s">
        <v>229</v>
      </c>
      <c r="F31" s="1" t="s">
        <v>230</v>
      </c>
      <c r="G31" s="9" t="s">
        <v>231</v>
      </c>
      <c r="H31" s="4" t="s">
        <v>69</v>
      </c>
      <c r="I31" s="4">
        <v>2</v>
      </c>
      <c r="J31" s="4" t="s">
        <v>187</v>
      </c>
      <c r="K31" s="4" t="s">
        <v>188</v>
      </c>
      <c r="L31" s="1" t="s">
        <v>135</v>
      </c>
      <c r="M31" s="4" t="s">
        <v>136</v>
      </c>
      <c r="N31" s="4" t="s">
        <v>137</v>
      </c>
    </row>
    <row r="32" spans="1:14" customHeight="1" ht="78" s="16" customFormat="1">
      <c r="A32" s="12" t="s">
        <v>232</v>
      </c>
      <c r="B32" s="13" t="s">
        <v>24</v>
      </c>
      <c r="C32" s="13" t="s">
        <v>21</v>
      </c>
      <c r="D32" s="13" t="s">
        <v>233</v>
      </c>
      <c r="E32" s="13" t="s">
        <v>234</v>
      </c>
      <c r="F32" s="13" t="s">
        <v>235</v>
      </c>
      <c r="G32" s="14" t="s">
        <v>236</v>
      </c>
      <c r="H32" s="15" t="s">
        <v>17</v>
      </c>
      <c r="I32" s="15">
        <v>2</v>
      </c>
      <c r="J32" s="15" t="s">
        <v>133</v>
      </c>
      <c r="K32" s="15" t="s">
        <v>134</v>
      </c>
      <c r="L32" s="13" t="s">
        <v>135</v>
      </c>
      <c r="M32" s="15" t="s">
        <v>136</v>
      </c>
      <c r="N32" s="15" t="s">
        <v>137</v>
      </c>
    </row>
    <row r="33" spans="1:14" customHeight="1" ht="78">
      <c r="A33" s="3" t="s">
        <v>237</v>
      </c>
      <c r="B33" s="1" t="s">
        <v>24</v>
      </c>
      <c r="C33" s="1" t="s">
        <v>21</v>
      </c>
      <c r="D33" s="1" t="s">
        <v>129</v>
      </c>
      <c r="E33" s="1" t="s">
        <v>238</v>
      </c>
      <c r="F33" s="1" t="s">
        <v>239</v>
      </c>
      <c r="G33" s="9" t="s">
        <v>240</v>
      </c>
      <c r="H33" s="4" t="s">
        <v>69</v>
      </c>
      <c r="I33" s="4">
        <v>3</v>
      </c>
      <c r="J33" s="4" t="s">
        <v>204</v>
      </c>
      <c r="K33" s="4" t="s">
        <v>188</v>
      </c>
      <c r="L33" s="1" t="s">
        <v>159</v>
      </c>
      <c r="M33" s="4" t="s">
        <v>136</v>
      </c>
      <c r="N33" s="4" t="s">
        <v>137</v>
      </c>
    </row>
    <row r="34" spans="1:14" customHeight="1" ht="78" s="16" customFormat="1">
      <c r="A34" s="12" t="s">
        <v>241</v>
      </c>
      <c r="B34" s="13" t="s">
        <v>28</v>
      </c>
      <c r="C34" s="13" t="s">
        <v>21</v>
      </c>
      <c r="D34" s="13" t="s">
        <v>233</v>
      </c>
      <c r="E34" s="13" t="s">
        <v>242</v>
      </c>
      <c r="F34" s="13" t="s">
        <v>243</v>
      </c>
      <c r="G34" s="14" t="s">
        <v>244</v>
      </c>
      <c r="H34" s="15" t="s">
        <v>17</v>
      </c>
      <c r="I34" s="15">
        <v>3</v>
      </c>
      <c r="J34" s="15" t="s">
        <v>245</v>
      </c>
      <c r="K34" s="15" t="s">
        <v>134</v>
      </c>
      <c r="L34" s="13" t="s">
        <v>135</v>
      </c>
      <c r="M34" s="15" t="s">
        <v>136</v>
      </c>
      <c r="N34" s="15" t="s">
        <v>137</v>
      </c>
    </row>
    <row r="35" spans="1:14" customHeight="1" ht="78">
      <c r="A35" s="3" t="s">
        <v>246</v>
      </c>
      <c r="B35" s="1" t="s">
        <v>28</v>
      </c>
      <c r="C35" s="1" t="s">
        <v>21</v>
      </c>
      <c r="D35" s="1" t="s">
        <v>129</v>
      </c>
      <c r="E35" s="1" t="s">
        <v>242</v>
      </c>
      <c r="F35" s="1" t="s">
        <v>247</v>
      </c>
      <c r="G35" s="9" t="s">
        <v>248</v>
      </c>
      <c r="H35" s="4" t="s">
        <v>17</v>
      </c>
      <c r="I35" s="4">
        <v>3</v>
      </c>
      <c r="J35" s="4" t="s">
        <v>249</v>
      </c>
      <c r="K35" s="4" t="s">
        <v>250</v>
      </c>
      <c r="L35" s="1" t="s">
        <v>135</v>
      </c>
      <c r="M35" s="4" t="s">
        <v>136</v>
      </c>
      <c r="N35" s="4" t="s">
        <v>137</v>
      </c>
    </row>
    <row r="36" spans="1:14" customHeight="1" ht="78" s="16" customFormat="1">
      <c r="A36" s="12" t="s">
        <v>251</v>
      </c>
      <c r="B36" s="13" t="s">
        <v>28</v>
      </c>
      <c r="C36" s="13" t="s">
        <v>21</v>
      </c>
      <c r="D36" s="13" t="s">
        <v>252</v>
      </c>
      <c r="E36" s="13" t="s">
        <v>242</v>
      </c>
      <c r="F36" s="13" t="s">
        <v>253</v>
      </c>
      <c r="G36" s="14" t="s">
        <v>254</v>
      </c>
      <c r="H36" s="15" t="s">
        <v>100</v>
      </c>
      <c r="I36" s="15">
        <v>3</v>
      </c>
      <c r="J36" s="15" t="s">
        <v>154</v>
      </c>
      <c r="K36" s="15" t="s">
        <v>155</v>
      </c>
      <c r="L36" s="13" t="s">
        <v>135</v>
      </c>
      <c r="M36" s="15" t="s">
        <v>136</v>
      </c>
      <c r="N36" s="15" t="s">
        <v>137</v>
      </c>
    </row>
    <row r="37" spans="1:14" customHeight="1" ht="78" s="16" customFormat="1">
      <c r="A37" s="12" t="s">
        <v>255</v>
      </c>
      <c r="B37" s="13" t="s">
        <v>28</v>
      </c>
      <c r="C37" s="13" t="s">
        <v>21</v>
      </c>
      <c r="D37" s="13" t="s">
        <v>233</v>
      </c>
      <c r="E37" s="13" t="s">
        <v>242</v>
      </c>
      <c r="F37" s="13" t="s">
        <v>256</v>
      </c>
      <c r="G37" s="14" t="s">
        <v>257</v>
      </c>
      <c r="H37" s="15" t="s">
        <v>17</v>
      </c>
      <c r="I37" s="15">
        <v>2</v>
      </c>
      <c r="J37" s="15" t="s">
        <v>245</v>
      </c>
      <c r="K37" s="15" t="s">
        <v>134</v>
      </c>
      <c r="L37" s="13" t="s">
        <v>135</v>
      </c>
      <c r="M37" s="15" t="s">
        <v>136</v>
      </c>
      <c r="N37" s="15" t="s">
        <v>137</v>
      </c>
    </row>
    <row r="38" spans="1:14" customHeight="1" ht="78" s="16" customFormat="1">
      <c r="A38" s="12" t="s">
        <v>258</v>
      </c>
      <c r="B38" s="13" t="s">
        <v>28</v>
      </c>
      <c r="C38" s="13" t="s">
        <v>21</v>
      </c>
      <c r="D38" s="13" t="s">
        <v>252</v>
      </c>
      <c r="E38" s="13" t="s">
        <v>259</v>
      </c>
      <c r="F38" s="13" t="s">
        <v>260</v>
      </c>
      <c r="G38" s="14" t="s">
        <v>261</v>
      </c>
      <c r="H38" s="15" t="s">
        <v>17</v>
      </c>
      <c r="I38" s="15">
        <v>3</v>
      </c>
      <c r="J38" s="15" t="s">
        <v>154</v>
      </c>
      <c r="K38" s="15" t="s">
        <v>155</v>
      </c>
      <c r="L38" s="13" t="s">
        <v>135</v>
      </c>
      <c r="M38" s="15" t="s">
        <v>136</v>
      </c>
      <c r="N38" s="15" t="s">
        <v>137</v>
      </c>
    </row>
    <row r="39" spans="1:14" customHeight="1" ht="78" s="16" customFormat="1">
      <c r="A39" s="12" t="s">
        <v>262</v>
      </c>
      <c r="B39" s="13" t="s">
        <v>32</v>
      </c>
      <c r="C39" s="13" t="s">
        <v>21</v>
      </c>
      <c r="D39" s="13" t="s">
        <v>233</v>
      </c>
      <c r="E39" s="13" t="s">
        <v>263</v>
      </c>
      <c r="F39" s="13" t="s">
        <v>264</v>
      </c>
      <c r="G39" s="14" t="s">
        <v>265</v>
      </c>
      <c r="H39" s="15" t="s">
        <v>17</v>
      </c>
      <c r="I39" s="15">
        <v>3</v>
      </c>
      <c r="J39" s="15" t="s">
        <v>245</v>
      </c>
      <c r="K39" s="15" t="s">
        <v>134</v>
      </c>
      <c r="L39" s="13" t="s">
        <v>135</v>
      </c>
      <c r="M39" s="15" t="s">
        <v>136</v>
      </c>
      <c r="N39" s="15" t="s">
        <v>137</v>
      </c>
    </row>
    <row r="40" spans="1:14" customHeight="1" ht="78" s="16" customFormat="1">
      <c r="A40" s="12" t="s">
        <v>266</v>
      </c>
      <c r="B40" s="13" t="s">
        <v>32</v>
      </c>
      <c r="C40" s="13" t="s">
        <v>21</v>
      </c>
      <c r="D40" s="13" t="s">
        <v>233</v>
      </c>
      <c r="E40" s="13" t="s">
        <v>263</v>
      </c>
      <c r="F40" s="13" t="s">
        <v>267</v>
      </c>
      <c r="G40" s="14" t="s">
        <v>268</v>
      </c>
      <c r="H40" s="15" t="s">
        <v>17</v>
      </c>
      <c r="I40" s="15">
        <v>5</v>
      </c>
      <c r="J40" s="15" t="s">
        <v>245</v>
      </c>
      <c r="K40" s="15" t="s">
        <v>134</v>
      </c>
      <c r="L40" s="13" t="s">
        <v>135</v>
      </c>
      <c r="M40" s="15" t="s">
        <v>136</v>
      </c>
      <c r="N40" s="15" t="s">
        <v>137</v>
      </c>
    </row>
    <row r="41" spans="1:14" customHeight="1" ht="78">
      <c r="A41" s="3" t="s">
        <v>269</v>
      </c>
      <c r="B41" s="1" t="s">
        <v>32</v>
      </c>
      <c r="C41" s="1" t="s">
        <v>21</v>
      </c>
      <c r="D41" s="1" t="s">
        <v>270</v>
      </c>
      <c r="E41" s="1" t="s">
        <v>263</v>
      </c>
      <c r="F41" s="1" t="s">
        <v>271</v>
      </c>
      <c r="G41" s="9" t="s">
        <v>272</v>
      </c>
      <c r="H41" s="4" t="s">
        <v>17</v>
      </c>
      <c r="I41" s="4">
        <v>5</v>
      </c>
      <c r="J41" s="4" t="s">
        <v>245</v>
      </c>
      <c r="K41" s="4" t="s">
        <v>134</v>
      </c>
      <c r="L41" s="1" t="s">
        <v>135</v>
      </c>
      <c r="M41" s="4" t="s">
        <v>136</v>
      </c>
      <c r="N41" s="4" t="s">
        <v>137</v>
      </c>
    </row>
    <row r="42" spans="1:14" customHeight="1" ht="78">
      <c r="A42" s="3" t="s">
        <v>273</v>
      </c>
      <c r="B42" s="1" t="s">
        <v>32</v>
      </c>
      <c r="C42" s="1" t="s">
        <v>21</v>
      </c>
      <c r="D42" s="1" t="s">
        <v>270</v>
      </c>
      <c r="E42" s="1" t="s">
        <v>263</v>
      </c>
      <c r="F42" s="1" t="s">
        <v>274</v>
      </c>
      <c r="G42" s="9" t="s">
        <v>275</v>
      </c>
      <c r="H42" s="4" t="s">
        <v>17</v>
      </c>
      <c r="I42" s="4">
        <v>3</v>
      </c>
      <c r="J42" s="4" t="s">
        <v>245</v>
      </c>
      <c r="K42" s="4" t="s">
        <v>134</v>
      </c>
      <c r="L42" s="1" t="s">
        <v>135</v>
      </c>
      <c r="M42" s="4" t="s">
        <v>136</v>
      </c>
      <c r="N42" s="4" t="s">
        <v>137</v>
      </c>
    </row>
    <row r="43" spans="1:14" customHeight="1" ht="78" s="16" customFormat="1">
      <c r="A43" s="12" t="s">
        <v>276</v>
      </c>
      <c r="B43" s="13" t="s">
        <v>32</v>
      </c>
      <c r="C43" s="13" t="s">
        <v>21</v>
      </c>
      <c r="D43" s="13" t="s">
        <v>270</v>
      </c>
      <c r="E43" s="13" t="s">
        <v>277</v>
      </c>
      <c r="F43" s="13" t="s">
        <v>278</v>
      </c>
      <c r="G43" s="14" t="s">
        <v>279</v>
      </c>
      <c r="H43" s="15" t="s">
        <v>17</v>
      </c>
      <c r="I43" s="15">
        <v>8</v>
      </c>
      <c r="J43" s="15" t="s">
        <v>249</v>
      </c>
      <c r="K43" s="15" t="s">
        <v>250</v>
      </c>
      <c r="L43" s="13" t="s">
        <v>135</v>
      </c>
      <c r="M43" s="15" t="s">
        <v>136</v>
      </c>
      <c r="N43" s="15" t="s">
        <v>137</v>
      </c>
    </row>
    <row r="44" spans="1:14" customHeight="1" ht="78" s="16" customFormat="1">
      <c r="A44" s="12" t="s">
        <v>280</v>
      </c>
      <c r="B44" s="13" t="s">
        <v>32</v>
      </c>
      <c r="C44" s="13" t="s">
        <v>21</v>
      </c>
      <c r="D44" s="13" t="s">
        <v>270</v>
      </c>
      <c r="E44" s="13" t="s">
        <v>277</v>
      </c>
      <c r="F44" s="13" t="s">
        <v>281</v>
      </c>
      <c r="G44" s="14" t="s">
        <v>282</v>
      </c>
      <c r="H44" s="15" t="s">
        <v>69</v>
      </c>
      <c r="I44" s="15">
        <v>3</v>
      </c>
      <c r="J44" s="15" t="s">
        <v>249</v>
      </c>
      <c r="K44" s="15" t="s">
        <v>250</v>
      </c>
      <c r="L44" s="13" t="s">
        <v>135</v>
      </c>
      <c r="M44" s="15" t="s">
        <v>136</v>
      </c>
      <c r="N44" s="15" t="s">
        <v>137</v>
      </c>
    </row>
    <row r="45" spans="1:14" customHeight="1" ht="78" s="16" customFormat="1">
      <c r="A45" s="12" t="s">
        <v>283</v>
      </c>
      <c r="B45" s="13" t="s">
        <v>32</v>
      </c>
      <c r="C45" s="13" t="s">
        <v>21</v>
      </c>
      <c r="D45" s="13" t="s">
        <v>233</v>
      </c>
      <c r="E45" s="13" t="s">
        <v>263</v>
      </c>
      <c r="F45" s="13" t="s">
        <v>284</v>
      </c>
      <c r="G45" s="14" t="s">
        <v>285</v>
      </c>
      <c r="H45" s="15" t="s">
        <v>17</v>
      </c>
      <c r="I45" s="15">
        <v>3</v>
      </c>
      <c r="J45" s="15" t="s">
        <v>249</v>
      </c>
      <c r="K45" s="15" t="s">
        <v>250</v>
      </c>
      <c r="L45" s="13" t="s">
        <v>135</v>
      </c>
      <c r="M45" s="15" t="s">
        <v>136</v>
      </c>
      <c r="N45" s="15" t="s">
        <v>137</v>
      </c>
    </row>
    <row r="46" spans="1:14" customHeight="1" ht="78" s="16" customFormat="1">
      <c r="A46" s="12" t="s">
        <v>286</v>
      </c>
      <c r="B46" s="13" t="s">
        <v>32</v>
      </c>
      <c r="C46" s="13" t="s">
        <v>21</v>
      </c>
      <c r="D46" s="13" t="s">
        <v>233</v>
      </c>
      <c r="E46" s="13" t="s">
        <v>263</v>
      </c>
      <c r="F46" s="13" t="s">
        <v>287</v>
      </c>
      <c r="G46" s="14" t="s">
        <v>288</v>
      </c>
      <c r="H46" s="15" t="s">
        <v>69</v>
      </c>
      <c r="I46" s="15">
        <v>2</v>
      </c>
      <c r="J46" s="15" t="s">
        <v>249</v>
      </c>
      <c r="K46" s="15" t="s">
        <v>250</v>
      </c>
      <c r="L46" s="13" t="s">
        <v>135</v>
      </c>
      <c r="M46" s="15" t="s">
        <v>136</v>
      </c>
      <c r="N46" s="15" t="s">
        <v>137</v>
      </c>
    </row>
    <row r="47" spans="1:14" customHeight="1" ht="78" s="16" customFormat="1">
      <c r="A47" s="12" t="s">
        <v>289</v>
      </c>
      <c r="B47" s="13" t="s">
        <v>32</v>
      </c>
      <c r="C47" s="13" t="s">
        <v>21</v>
      </c>
      <c r="D47" s="13" t="s">
        <v>290</v>
      </c>
      <c r="E47" s="13" t="s">
        <v>277</v>
      </c>
      <c r="F47" s="13" t="s">
        <v>291</v>
      </c>
      <c r="G47" s="14" t="s">
        <v>292</v>
      </c>
      <c r="H47" s="15" t="s">
        <v>69</v>
      </c>
      <c r="I47" s="15">
        <v>5</v>
      </c>
      <c r="J47" s="15" t="s">
        <v>154</v>
      </c>
      <c r="K47" s="15" t="s">
        <v>155</v>
      </c>
      <c r="L47" s="13" t="s">
        <v>135</v>
      </c>
      <c r="M47" s="15" t="s">
        <v>136</v>
      </c>
      <c r="N47" s="15" t="s">
        <v>137</v>
      </c>
    </row>
    <row r="48" spans="1:14" customHeight="1" ht="78" s="16" customFormat="1">
      <c r="A48" s="12" t="s">
        <v>293</v>
      </c>
      <c r="B48" s="13" t="s">
        <v>36</v>
      </c>
      <c r="C48" s="13" t="s">
        <v>21</v>
      </c>
      <c r="D48" s="13" t="s">
        <v>233</v>
      </c>
      <c r="E48" s="13" t="s">
        <v>294</v>
      </c>
      <c r="F48" s="13" t="s">
        <v>295</v>
      </c>
      <c r="G48" s="14" t="s">
        <v>296</v>
      </c>
      <c r="H48" s="15" t="s">
        <v>17</v>
      </c>
      <c r="I48" s="15">
        <v>5</v>
      </c>
      <c r="J48" s="15" t="s">
        <v>297</v>
      </c>
      <c r="K48" s="15" t="s">
        <v>250</v>
      </c>
      <c r="L48" s="13" t="s">
        <v>135</v>
      </c>
      <c r="M48" s="15" t="s">
        <v>136</v>
      </c>
      <c r="N48" s="15" t="s">
        <v>137</v>
      </c>
    </row>
    <row r="49" spans="1:14" customHeight="1" ht="78">
      <c r="A49" s="3" t="s">
        <v>298</v>
      </c>
      <c r="B49" s="1" t="s">
        <v>36</v>
      </c>
      <c r="C49" s="1" t="s">
        <v>21</v>
      </c>
      <c r="D49" s="1" t="s">
        <v>299</v>
      </c>
      <c r="E49" s="1" t="s">
        <v>294</v>
      </c>
      <c r="F49" s="1" t="s">
        <v>300</v>
      </c>
      <c r="G49" s="9" t="s">
        <v>301</v>
      </c>
      <c r="H49" s="4" t="s">
        <v>17</v>
      </c>
      <c r="I49" s="4">
        <v>3</v>
      </c>
      <c r="J49" s="4" t="s">
        <v>297</v>
      </c>
      <c r="K49" s="4" t="s">
        <v>250</v>
      </c>
      <c r="L49" s="1" t="s">
        <v>159</v>
      </c>
      <c r="M49" s="4" t="s">
        <v>136</v>
      </c>
      <c r="N49" s="4" t="s">
        <v>137</v>
      </c>
    </row>
    <row r="50" spans="1:14" customHeight="1" ht="78" s="16" customFormat="1">
      <c r="A50" s="12" t="s">
        <v>302</v>
      </c>
      <c r="B50" s="13" t="s">
        <v>36</v>
      </c>
      <c r="C50" s="13" t="s">
        <v>21</v>
      </c>
      <c r="D50" s="13" t="s">
        <v>233</v>
      </c>
      <c r="E50" s="13" t="s">
        <v>294</v>
      </c>
      <c r="F50" s="13" t="s">
        <v>303</v>
      </c>
      <c r="G50" s="14" t="s">
        <v>304</v>
      </c>
      <c r="H50" s="15" t="s">
        <v>17</v>
      </c>
      <c r="I50" s="15">
        <v>3</v>
      </c>
      <c r="J50" s="15" t="s">
        <v>249</v>
      </c>
      <c r="K50" s="15" t="s">
        <v>250</v>
      </c>
      <c r="L50" s="13" t="s">
        <v>135</v>
      </c>
      <c r="M50" s="15" t="s">
        <v>136</v>
      </c>
      <c r="N50" s="15" t="s">
        <v>137</v>
      </c>
    </row>
    <row r="51" spans="1:14" customHeight="1" ht="78" s="16" customFormat="1">
      <c r="A51" s="12" t="s">
        <v>305</v>
      </c>
      <c r="B51" s="13" t="s">
        <v>36</v>
      </c>
      <c r="C51" s="13" t="s">
        <v>21</v>
      </c>
      <c r="D51" s="13" t="s">
        <v>233</v>
      </c>
      <c r="E51" s="13" t="s">
        <v>294</v>
      </c>
      <c r="F51" s="13" t="s">
        <v>306</v>
      </c>
      <c r="G51" s="14" t="s">
        <v>307</v>
      </c>
      <c r="H51" s="15" t="s">
        <v>17</v>
      </c>
      <c r="I51" s="15">
        <v>3</v>
      </c>
      <c r="J51" s="15" t="s">
        <v>249</v>
      </c>
      <c r="K51" s="15" t="s">
        <v>250</v>
      </c>
      <c r="L51" s="13" t="s">
        <v>135</v>
      </c>
      <c r="M51" s="15" t="s">
        <v>136</v>
      </c>
      <c r="N51" s="15" t="s">
        <v>137</v>
      </c>
    </row>
    <row r="52" spans="1:14" customHeight="1" ht="78" s="16" customFormat="1">
      <c r="A52" s="12" t="s">
        <v>308</v>
      </c>
      <c r="B52" s="13" t="s">
        <v>36</v>
      </c>
      <c r="C52" s="13" t="s">
        <v>21</v>
      </c>
      <c r="D52" s="13" t="s">
        <v>299</v>
      </c>
      <c r="E52" s="13" t="s">
        <v>294</v>
      </c>
      <c r="F52" s="13" t="s">
        <v>309</v>
      </c>
      <c r="G52" s="14" t="s">
        <v>310</v>
      </c>
      <c r="H52" s="15" t="s">
        <v>17</v>
      </c>
      <c r="I52" s="15">
        <v>3</v>
      </c>
      <c r="J52" s="15" t="s">
        <v>249</v>
      </c>
      <c r="K52" s="15" t="s">
        <v>250</v>
      </c>
      <c r="L52" s="13" t="s">
        <v>135</v>
      </c>
      <c r="M52" s="15" t="s">
        <v>136</v>
      </c>
      <c r="N52" s="15" t="s">
        <v>137</v>
      </c>
    </row>
    <row r="53" spans="1:14" customHeight="1" ht="78">
      <c r="A53" s="3" t="s">
        <v>311</v>
      </c>
      <c r="B53" s="1" t="s">
        <v>36</v>
      </c>
      <c r="C53" s="1" t="s">
        <v>21</v>
      </c>
      <c r="D53" s="1" t="s">
        <v>299</v>
      </c>
      <c r="E53" s="1" t="s">
        <v>294</v>
      </c>
      <c r="F53" s="1" t="s">
        <v>312</v>
      </c>
      <c r="G53" s="9" t="s">
        <v>313</v>
      </c>
      <c r="H53" s="4" t="s">
        <v>17</v>
      </c>
      <c r="I53" s="4">
        <v>5</v>
      </c>
      <c r="J53" s="4" t="s">
        <v>249</v>
      </c>
      <c r="K53" s="4" t="s">
        <v>250</v>
      </c>
      <c r="L53" s="1" t="s">
        <v>159</v>
      </c>
      <c r="M53" s="4" t="s">
        <v>136</v>
      </c>
      <c r="N53" s="4" t="s">
        <v>137</v>
      </c>
    </row>
    <row r="54" spans="1:14" customHeight="1" ht="78">
      <c r="A54" s="3" t="s">
        <v>314</v>
      </c>
      <c r="B54" s="1" t="s">
        <v>36</v>
      </c>
      <c r="C54" s="1" t="s">
        <v>21</v>
      </c>
      <c r="D54" s="1" t="s">
        <v>233</v>
      </c>
      <c r="E54" s="1" t="s">
        <v>294</v>
      </c>
      <c r="F54" s="1" t="s">
        <v>315</v>
      </c>
      <c r="G54" s="9" t="s">
        <v>316</v>
      </c>
      <c r="H54" s="4" t="s">
        <v>17</v>
      </c>
      <c r="I54" s="4">
        <v>3</v>
      </c>
      <c r="J54" s="4" t="s">
        <v>249</v>
      </c>
      <c r="K54" s="4" t="s">
        <v>250</v>
      </c>
      <c r="L54" s="1" t="s">
        <v>135</v>
      </c>
      <c r="M54" s="4" t="s">
        <v>136</v>
      </c>
      <c r="N54" s="4" t="s">
        <v>137</v>
      </c>
    </row>
    <row r="55" spans="1:14" customHeight="1" ht="78">
      <c r="A55" s="3" t="s">
        <v>317</v>
      </c>
      <c r="B55" s="1" t="s">
        <v>36</v>
      </c>
      <c r="C55" s="1" t="s">
        <v>21</v>
      </c>
      <c r="D55" s="1" t="s">
        <v>233</v>
      </c>
      <c r="E55" s="1" t="s">
        <v>318</v>
      </c>
      <c r="F55" s="1" t="s">
        <v>319</v>
      </c>
      <c r="G55" s="9" t="s">
        <v>320</v>
      </c>
      <c r="H55" s="4" t="s">
        <v>17</v>
      </c>
      <c r="I55" s="4">
        <v>3</v>
      </c>
      <c r="J55" s="4" t="s">
        <v>321</v>
      </c>
      <c r="K55" s="4" t="s">
        <v>155</v>
      </c>
      <c r="L55" s="1" t="s">
        <v>135</v>
      </c>
      <c r="M55" s="4" t="s">
        <v>136</v>
      </c>
      <c r="N55" s="4" t="s">
        <v>137</v>
      </c>
    </row>
    <row r="56" spans="1:14" customHeight="1" ht="78">
      <c r="A56" s="3" t="s">
        <v>322</v>
      </c>
      <c r="B56" s="1" t="s">
        <v>36</v>
      </c>
      <c r="C56" s="1" t="s">
        <v>21</v>
      </c>
      <c r="D56" s="1" t="s">
        <v>233</v>
      </c>
      <c r="E56" s="1" t="s">
        <v>238</v>
      </c>
      <c r="F56" s="1" t="s">
        <v>323</v>
      </c>
      <c r="G56" s="9" t="s">
        <v>324</v>
      </c>
      <c r="H56" s="4" t="s">
        <v>17</v>
      </c>
      <c r="I56" s="4">
        <v>3</v>
      </c>
      <c r="J56" s="4" t="s">
        <v>249</v>
      </c>
      <c r="K56" s="4" t="s">
        <v>250</v>
      </c>
      <c r="L56" s="1" t="s">
        <v>159</v>
      </c>
      <c r="M56" s="4" t="s">
        <v>136</v>
      </c>
      <c r="N56" s="4" t="s">
        <v>137</v>
      </c>
    </row>
    <row r="57" spans="1:14" customHeight="1" ht="78">
      <c r="A57" s="3" t="s">
        <v>325</v>
      </c>
      <c r="B57" s="1" t="s">
        <v>40</v>
      </c>
      <c r="C57" s="1" t="s">
        <v>21</v>
      </c>
      <c r="D57" s="1" t="s">
        <v>233</v>
      </c>
      <c r="E57" s="1" t="s">
        <v>234</v>
      </c>
      <c r="F57" s="1" t="s">
        <v>326</v>
      </c>
      <c r="G57" s="9" t="s">
        <v>327</v>
      </c>
      <c r="H57" s="4" t="s">
        <v>17</v>
      </c>
      <c r="I57" s="4">
        <v>3</v>
      </c>
      <c r="J57" s="4" t="s">
        <v>217</v>
      </c>
      <c r="K57" s="4" t="s">
        <v>188</v>
      </c>
      <c r="L57" s="1" t="s">
        <v>135</v>
      </c>
      <c r="M57" s="4" t="s">
        <v>136</v>
      </c>
      <c r="N57" s="4" t="s">
        <v>137</v>
      </c>
    </row>
    <row r="58" spans="1:14" customHeight="1" ht="78">
      <c r="A58" s="3" t="s">
        <v>328</v>
      </c>
      <c r="B58" s="1" t="s">
        <v>40</v>
      </c>
      <c r="C58" s="1" t="s">
        <v>21</v>
      </c>
      <c r="D58" s="1" t="s">
        <v>233</v>
      </c>
      <c r="E58" s="1" t="s">
        <v>329</v>
      </c>
      <c r="F58" s="1" t="s">
        <v>330</v>
      </c>
      <c r="G58" s="9" t="s">
        <v>331</v>
      </c>
      <c r="H58" s="4" t="s">
        <v>17</v>
      </c>
      <c r="I58" s="4">
        <v>8</v>
      </c>
      <c r="J58" s="4" t="s">
        <v>217</v>
      </c>
      <c r="K58" s="4" t="s">
        <v>188</v>
      </c>
      <c r="L58" s="1" t="s">
        <v>135</v>
      </c>
      <c r="M58" s="4" t="s">
        <v>136</v>
      </c>
      <c r="N58" s="4" t="s">
        <v>137</v>
      </c>
    </row>
    <row r="59" spans="1:14" customHeight="1" ht="78">
      <c r="A59" s="3" t="s">
        <v>332</v>
      </c>
      <c r="B59" s="1" t="s">
        <v>40</v>
      </c>
      <c r="C59" s="1" t="s">
        <v>21</v>
      </c>
      <c r="D59" s="1" t="s">
        <v>299</v>
      </c>
      <c r="E59" s="1" t="s">
        <v>329</v>
      </c>
      <c r="F59" s="1" t="s">
        <v>333</v>
      </c>
      <c r="G59" s="9" t="s">
        <v>334</v>
      </c>
      <c r="H59" s="4" t="s">
        <v>17</v>
      </c>
      <c r="I59" s="4">
        <v>5</v>
      </c>
      <c r="J59" s="4" t="s">
        <v>217</v>
      </c>
      <c r="K59" s="4" t="s">
        <v>188</v>
      </c>
      <c r="L59" s="1" t="s">
        <v>159</v>
      </c>
      <c r="M59" s="4" t="s">
        <v>136</v>
      </c>
      <c r="N59" s="4" t="s">
        <v>137</v>
      </c>
    </row>
    <row r="60" spans="1:14" customHeight="1" ht="78">
      <c r="A60" s="3" t="s">
        <v>335</v>
      </c>
      <c r="B60" s="1" t="s">
        <v>40</v>
      </c>
      <c r="C60" s="1" t="s">
        <v>21</v>
      </c>
      <c r="D60" s="1" t="s">
        <v>233</v>
      </c>
      <c r="E60" s="1" t="s">
        <v>329</v>
      </c>
      <c r="F60" s="1" t="s">
        <v>336</v>
      </c>
      <c r="G60" s="9" t="s">
        <v>337</v>
      </c>
      <c r="H60" s="4" t="s">
        <v>69</v>
      </c>
      <c r="I60" s="4">
        <v>3</v>
      </c>
      <c r="J60" s="4" t="s">
        <v>217</v>
      </c>
      <c r="K60" s="4" t="s">
        <v>188</v>
      </c>
      <c r="L60" s="1" t="s">
        <v>135</v>
      </c>
      <c r="M60" s="4" t="s">
        <v>136</v>
      </c>
      <c r="N60" s="4" t="s">
        <v>137</v>
      </c>
    </row>
    <row r="61" spans="1:14" customHeight="1" ht="78">
      <c r="A61" s="3" t="s">
        <v>338</v>
      </c>
      <c r="B61" s="1" t="s">
        <v>40</v>
      </c>
      <c r="C61" s="1" t="s">
        <v>21</v>
      </c>
      <c r="D61" s="1" t="s">
        <v>299</v>
      </c>
      <c r="E61" s="1" t="s">
        <v>339</v>
      </c>
      <c r="F61" s="1" t="s">
        <v>340</v>
      </c>
      <c r="G61" s="9" t="s">
        <v>341</v>
      </c>
      <c r="H61" s="4" t="s">
        <v>17</v>
      </c>
      <c r="I61" s="4">
        <v>5</v>
      </c>
      <c r="J61" s="4" t="s">
        <v>342</v>
      </c>
      <c r="K61" s="4" t="s">
        <v>155</v>
      </c>
      <c r="L61" s="1" t="s">
        <v>135</v>
      </c>
      <c r="M61" s="4" t="s">
        <v>136</v>
      </c>
      <c r="N61" s="4" t="s">
        <v>137</v>
      </c>
    </row>
    <row r="62" spans="1:14" customHeight="1" ht="78">
      <c r="A62" s="3" t="s">
        <v>343</v>
      </c>
      <c r="B62" s="1" t="s">
        <v>40</v>
      </c>
      <c r="C62" s="1" t="s">
        <v>21</v>
      </c>
      <c r="D62" s="1" t="s">
        <v>344</v>
      </c>
      <c r="E62" s="1" t="s">
        <v>329</v>
      </c>
      <c r="F62" s="1" t="s">
        <v>345</v>
      </c>
      <c r="G62" s="9" t="s">
        <v>346</v>
      </c>
      <c r="H62" s="4" t="s">
        <v>69</v>
      </c>
      <c r="I62" s="4">
        <v>2</v>
      </c>
      <c r="J62" s="4" t="s">
        <v>217</v>
      </c>
      <c r="K62" s="4" t="s">
        <v>188</v>
      </c>
      <c r="L62" s="1" t="s">
        <v>135</v>
      </c>
      <c r="M62" s="4" t="s">
        <v>136</v>
      </c>
      <c r="N62" s="4" t="s">
        <v>137</v>
      </c>
    </row>
    <row r="63" spans="1:14" customHeight="1" ht="78">
      <c r="A63" s="3" t="s">
        <v>347</v>
      </c>
      <c r="B63" s="1" t="s">
        <v>44</v>
      </c>
      <c r="C63" s="1" t="s">
        <v>21</v>
      </c>
      <c r="D63" s="1" t="s">
        <v>348</v>
      </c>
      <c r="E63" s="1" t="s">
        <v>349</v>
      </c>
      <c r="F63" s="1" t="s">
        <v>350</v>
      </c>
      <c r="G63" s="9" t="s">
        <v>351</v>
      </c>
      <c r="H63" s="4" t="s">
        <v>17</v>
      </c>
      <c r="I63" s="4">
        <v>3</v>
      </c>
      <c r="J63" s="4" t="s">
        <v>342</v>
      </c>
      <c r="K63" s="4" t="s">
        <v>155</v>
      </c>
      <c r="L63" s="1" t="s">
        <v>352</v>
      </c>
      <c r="M63" s="4" t="s">
        <v>136</v>
      </c>
      <c r="N63" s="4" t="s">
        <v>137</v>
      </c>
    </row>
    <row r="64" spans="1:14" customHeight="1" ht="78" s="16" customFormat="1">
      <c r="A64" s="12" t="s">
        <v>353</v>
      </c>
      <c r="B64" s="13" t="s">
        <v>44</v>
      </c>
      <c r="C64" s="13" t="s">
        <v>21</v>
      </c>
      <c r="D64" s="13" t="s">
        <v>233</v>
      </c>
      <c r="E64" s="13" t="s">
        <v>349</v>
      </c>
      <c r="F64" s="13" t="s">
        <v>354</v>
      </c>
      <c r="G64" s="14" t="s">
        <v>355</v>
      </c>
      <c r="H64" s="15" t="s">
        <v>17</v>
      </c>
      <c r="I64" s="15">
        <v>3</v>
      </c>
      <c r="J64" s="15" t="s">
        <v>342</v>
      </c>
      <c r="K64" s="15" t="s">
        <v>155</v>
      </c>
      <c r="L64" s="13" t="s">
        <v>135</v>
      </c>
      <c r="M64" s="15" t="s">
        <v>136</v>
      </c>
      <c r="N64" s="15" t="s">
        <v>137</v>
      </c>
    </row>
    <row r="65" spans="1:14" customHeight="1" ht="78" s="16" customFormat="1">
      <c r="A65" s="12" t="s">
        <v>356</v>
      </c>
      <c r="B65" s="13" t="s">
        <v>44</v>
      </c>
      <c r="C65" s="13" t="s">
        <v>21</v>
      </c>
      <c r="D65" s="13" t="s">
        <v>233</v>
      </c>
      <c r="E65" s="13" t="s">
        <v>339</v>
      </c>
      <c r="F65" s="13" t="s">
        <v>357</v>
      </c>
      <c r="G65" s="14" t="s">
        <v>358</v>
      </c>
      <c r="H65" s="15" t="s">
        <v>17</v>
      </c>
      <c r="I65" s="15">
        <v>5</v>
      </c>
      <c r="J65" s="15" t="s">
        <v>342</v>
      </c>
      <c r="K65" s="15" t="s">
        <v>155</v>
      </c>
      <c r="L65" s="13" t="s">
        <v>135</v>
      </c>
      <c r="M65" s="15" t="s">
        <v>136</v>
      </c>
      <c r="N65" s="15" t="s">
        <v>137</v>
      </c>
    </row>
    <row r="66" spans="1:14" customHeight="1" ht="78">
      <c r="A66" s="3" t="s">
        <v>359</v>
      </c>
      <c r="B66" s="1" t="s">
        <v>44</v>
      </c>
      <c r="C66" s="1" t="s">
        <v>21</v>
      </c>
      <c r="D66" s="1" t="s">
        <v>360</v>
      </c>
      <c r="E66" s="1" t="s">
        <v>339</v>
      </c>
      <c r="F66" s="1" t="s">
        <v>361</v>
      </c>
      <c r="G66" s="9" t="s">
        <v>362</v>
      </c>
      <c r="H66" s="4" t="s">
        <v>69</v>
      </c>
      <c r="I66" s="4">
        <v>3</v>
      </c>
      <c r="J66" s="4" t="s">
        <v>342</v>
      </c>
      <c r="K66" s="4" t="s">
        <v>155</v>
      </c>
      <c r="L66" s="1" t="s">
        <v>135</v>
      </c>
      <c r="M66" s="4" t="s">
        <v>136</v>
      </c>
      <c r="N66" s="4" t="s">
        <v>137</v>
      </c>
    </row>
    <row r="67" spans="1:14" customHeight="1" ht="78">
      <c r="A67" s="3" t="s">
        <v>363</v>
      </c>
      <c r="B67" s="1" t="s">
        <v>44</v>
      </c>
      <c r="C67" s="1" t="s">
        <v>21</v>
      </c>
      <c r="D67" s="1" t="s">
        <v>344</v>
      </c>
      <c r="E67" s="1" t="s">
        <v>364</v>
      </c>
      <c r="F67" s="1" t="s">
        <v>365</v>
      </c>
      <c r="G67" s="9" t="s">
        <v>366</v>
      </c>
      <c r="H67" s="4" t="s">
        <v>17</v>
      </c>
      <c r="I67" s="4">
        <v>5</v>
      </c>
      <c r="J67" s="4" t="s">
        <v>321</v>
      </c>
      <c r="K67" s="4" t="s">
        <v>155</v>
      </c>
      <c r="L67" s="1" t="s">
        <v>135</v>
      </c>
      <c r="M67" s="4" t="s">
        <v>136</v>
      </c>
      <c r="N67" s="4" t="s">
        <v>137</v>
      </c>
    </row>
    <row r="68" spans="1:14" customHeight="1" ht="78">
      <c r="A68" s="3" t="s">
        <v>367</v>
      </c>
      <c r="B68" s="1" t="s">
        <v>44</v>
      </c>
      <c r="C68" s="1" t="s">
        <v>21</v>
      </c>
      <c r="D68" s="1" t="s">
        <v>233</v>
      </c>
      <c r="E68" s="1" t="s">
        <v>364</v>
      </c>
      <c r="F68" s="1" t="s">
        <v>368</v>
      </c>
      <c r="G68" s="9" t="s">
        <v>369</v>
      </c>
      <c r="H68" s="4" t="s">
        <v>69</v>
      </c>
      <c r="I68" s="4">
        <v>5</v>
      </c>
      <c r="J68" s="4" t="s">
        <v>321</v>
      </c>
      <c r="K68" s="4" t="s">
        <v>155</v>
      </c>
      <c r="L68" s="1" t="s">
        <v>135</v>
      </c>
      <c r="M68" s="4" t="s">
        <v>136</v>
      </c>
      <c r="N68" s="4" t="s">
        <v>137</v>
      </c>
    </row>
    <row r="69" spans="1:14" customHeight="1" ht="78">
      <c r="A69" s="3" t="s">
        <v>370</v>
      </c>
      <c r="B69" s="1" t="s">
        <v>48</v>
      </c>
      <c r="C69" s="1" t="s">
        <v>50</v>
      </c>
      <c r="D69" s="1" t="s">
        <v>348</v>
      </c>
      <c r="E69" s="1" t="s">
        <v>371</v>
      </c>
      <c r="F69" s="1" t="s">
        <v>372</v>
      </c>
      <c r="G69" s="9" t="s">
        <v>373</v>
      </c>
      <c r="H69" s="4" t="s">
        <v>17</v>
      </c>
      <c r="I69" s="4">
        <v>3</v>
      </c>
      <c r="J69" s="4" t="s">
        <v>249</v>
      </c>
      <c r="K69" s="4" t="s">
        <v>250</v>
      </c>
      <c r="L69" s="1" t="s">
        <v>352</v>
      </c>
      <c r="M69" s="4" t="s">
        <v>136</v>
      </c>
      <c r="N69" s="4" t="s">
        <v>137</v>
      </c>
    </row>
    <row r="70" spans="1:14" customHeight="1" ht="78">
      <c r="A70" s="3" t="s">
        <v>374</v>
      </c>
      <c r="B70" s="1" t="s">
        <v>48</v>
      </c>
      <c r="C70" s="1" t="s">
        <v>50</v>
      </c>
      <c r="D70" s="1" t="s">
        <v>348</v>
      </c>
      <c r="E70" s="1" t="s">
        <v>371</v>
      </c>
      <c r="F70" s="1" t="s">
        <v>375</v>
      </c>
      <c r="G70" s="9" t="s">
        <v>376</v>
      </c>
      <c r="H70" s="4" t="s">
        <v>17</v>
      </c>
      <c r="I70" s="4">
        <v>3</v>
      </c>
      <c r="J70" s="4" t="s">
        <v>342</v>
      </c>
      <c r="K70" s="4" t="s">
        <v>155</v>
      </c>
      <c r="L70" s="1" t="s">
        <v>352</v>
      </c>
      <c r="M70" s="4" t="s">
        <v>136</v>
      </c>
      <c r="N70" s="4" t="s">
        <v>137</v>
      </c>
    </row>
    <row r="71" spans="1:14" customHeight="1" ht="78">
      <c r="A71" s="3" t="s">
        <v>377</v>
      </c>
      <c r="B71" s="1" t="s">
        <v>48</v>
      </c>
      <c r="C71" s="1" t="s">
        <v>50</v>
      </c>
      <c r="D71" s="1" t="s">
        <v>348</v>
      </c>
      <c r="E71" s="1" t="s">
        <v>371</v>
      </c>
      <c r="F71" s="1" t="s">
        <v>378</v>
      </c>
      <c r="G71" s="9" t="s">
        <v>379</v>
      </c>
      <c r="H71" s="4" t="s">
        <v>17</v>
      </c>
      <c r="I71" s="4">
        <v>3</v>
      </c>
      <c r="J71" s="4" t="s">
        <v>342</v>
      </c>
      <c r="K71" s="4" t="s">
        <v>155</v>
      </c>
      <c r="L71" s="1" t="s">
        <v>352</v>
      </c>
      <c r="M71" s="4" t="s">
        <v>136</v>
      </c>
      <c r="N71" s="4" t="s">
        <v>137</v>
      </c>
    </row>
    <row r="72" spans="1:14" customHeight="1" ht="78">
      <c r="A72" s="3" t="s">
        <v>380</v>
      </c>
      <c r="B72" s="1" t="s">
        <v>48</v>
      </c>
      <c r="C72" s="1" t="s">
        <v>50</v>
      </c>
      <c r="D72" s="1" t="s">
        <v>252</v>
      </c>
      <c r="E72" s="1" t="s">
        <v>371</v>
      </c>
      <c r="F72" s="1" t="s">
        <v>381</v>
      </c>
      <c r="G72" s="9" t="s">
        <v>382</v>
      </c>
      <c r="H72" s="4" t="s">
        <v>17</v>
      </c>
      <c r="I72" s="4">
        <v>5</v>
      </c>
      <c r="J72" s="4" t="s">
        <v>321</v>
      </c>
      <c r="K72" s="4" t="s">
        <v>155</v>
      </c>
      <c r="L72" s="1" t="s">
        <v>135</v>
      </c>
      <c r="M72" s="4" t="s">
        <v>136</v>
      </c>
      <c r="N72" s="4" t="s">
        <v>137</v>
      </c>
    </row>
    <row r="73" spans="1:14" customHeight="1" ht="78">
      <c r="A73" s="3" t="s">
        <v>383</v>
      </c>
      <c r="B73" s="1" t="s">
        <v>48</v>
      </c>
      <c r="C73" s="1" t="s">
        <v>50</v>
      </c>
      <c r="D73" s="1" t="s">
        <v>344</v>
      </c>
      <c r="E73" s="1" t="s">
        <v>384</v>
      </c>
      <c r="F73" s="1" t="s">
        <v>385</v>
      </c>
      <c r="G73" s="9" t="s">
        <v>386</v>
      </c>
      <c r="H73" s="4" t="s">
        <v>17</v>
      </c>
      <c r="I73" s="4">
        <v>8</v>
      </c>
      <c r="J73" s="4" t="s">
        <v>321</v>
      </c>
      <c r="K73" s="4" t="s">
        <v>155</v>
      </c>
      <c r="L73" s="1" t="s">
        <v>135</v>
      </c>
      <c r="M73" s="4" t="s">
        <v>136</v>
      </c>
      <c r="N73" s="4" t="s">
        <v>137</v>
      </c>
    </row>
    <row r="74" spans="1:14" customHeight="1" ht="78">
      <c r="A74" s="3" t="s">
        <v>387</v>
      </c>
      <c r="B74" s="1" t="s">
        <v>48</v>
      </c>
      <c r="C74" s="1" t="s">
        <v>50</v>
      </c>
      <c r="D74" s="1" t="s">
        <v>290</v>
      </c>
      <c r="E74" s="1" t="s">
        <v>384</v>
      </c>
      <c r="F74" s="1" t="s">
        <v>388</v>
      </c>
      <c r="G74" s="9" t="s">
        <v>389</v>
      </c>
      <c r="H74" s="4" t="s">
        <v>17</v>
      </c>
      <c r="I74" s="4">
        <v>5</v>
      </c>
      <c r="J74" s="4" t="s">
        <v>154</v>
      </c>
      <c r="K74" s="4" t="s">
        <v>155</v>
      </c>
      <c r="L74" s="1" t="s">
        <v>135</v>
      </c>
      <c r="M74" s="4" t="s">
        <v>136</v>
      </c>
      <c r="N74" s="4" t="s">
        <v>137</v>
      </c>
    </row>
    <row r="75" spans="1:14" customHeight="1" ht="78">
      <c r="A75" s="3" t="s">
        <v>390</v>
      </c>
      <c r="B75" s="1" t="s">
        <v>48</v>
      </c>
      <c r="C75" s="1" t="s">
        <v>50</v>
      </c>
      <c r="D75" s="1" t="s">
        <v>233</v>
      </c>
      <c r="E75" s="1" t="s">
        <v>384</v>
      </c>
      <c r="F75" s="1" t="s">
        <v>391</v>
      </c>
      <c r="G75" s="9" t="s">
        <v>392</v>
      </c>
      <c r="H75" s="4" t="s">
        <v>69</v>
      </c>
      <c r="I75" s="4">
        <v>5</v>
      </c>
      <c r="J75" s="4" t="s">
        <v>154</v>
      </c>
      <c r="K75" s="4" t="s">
        <v>155</v>
      </c>
      <c r="L75" s="1" t="s">
        <v>135</v>
      </c>
      <c r="M75" s="4" t="s">
        <v>136</v>
      </c>
      <c r="N75" s="4" t="s">
        <v>137</v>
      </c>
    </row>
    <row r="76" spans="1:14" customHeight="1" ht="78">
      <c r="A76" s="3" t="s">
        <v>393</v>
      </c>
      <c r="B76" s="1" t="s">
        <v>48</v>
      </c>
      <c r="C76" s="1" t="s">
        <v>50</v>
      </c>
      <c r="D76" s="1" t="s">
        <v>161</v>
      </c>
      <c r="E76" s="1" t="s">
        <v>394</v>
      </c>
      <c r="F76" s="1" t="s">
        <v>395</v>
      </c>
      <c r="G76" s="9" t="s">
        <v>396</v>
      </c>
      <c r="H76" s="4" t="s">
        <v>69</v>
      </c>
      <c r="I76" s="4">
        <v>8</v>
      </c>
      <c r="J76" s="4" t="s">
        <v>148</v>
      </c>
      <c r="K76" s="4" t="s">
        <v>149</v>
      </c>
      <c r="L76" s="1" t="s">
        <v>135</v>
      </c>
      <c r="M76" s="4" t="s">
        <v>136</v>
      </c>
      <c r="N76" s="4" t="s">
        <v>137</v>
      </c>
    </row>
    <row r="77" spans="1:14" customHeight="1" ht="78">
      <c r="A77" s="3" t="s">
        <v>397</v>
      </c>
      <c r="B77" s="1" t="s">
        <v>36</v>
      </c>
      <c r="C77" s="1" t="s">
        <v>21</v>
      </c>
      <c r="D77" s="1" t="s">
        <v>233</v>
      </c>
      <c r="E77" s="1" t="s">
        <v>294</v>
      </c>
      <c r="F77" s="1" t="s">
        <v>398</v>
      </c>
      <c r="G77" s="9" t="s">
        <v>399</v>
      </c>
      <c r="H77" s="4" t="s">
        <v>17</v>
      </c>
      <c r="I77" s="4">
        <v>2</v>
      </c>
      <c r="J77" s="4" t="s">
        <v>297</v>
      </c>
      <c r="K77" s="4" t="s">
        <v>250</v>
      </c>
      <c r="L77" s="1" t="s">
        <v>135</v>
      </c>
      <c r="M77" s="4" t="s">
        <v>136</v>
      </c>
      <c r="N77" s="4" t="s">
        <v>137</v>
      </c>
    </row>
    <row r="78" spans="1:14" customHeight="1" ht="78">
      <c r="A78" s="3" t="s">
        <v>400</v>
      </c>
      <c r="B78" s="1" t="s">
        <v>40</v>
      </c>
      <c r="C78" s="1" t="s">
        <v>21</v>
      </c>
      <c r="D78" s="1" t="s">
        <v>233</v>
      </c>
      <c r="E78" s="1" t="s">
        <v>234</v>
      </c>
      <c r="F78" s="1" t="s">
        <v>401</v>
      </c>
      <c r="G78" s="9" t="s">
        <v>402</v>
      </c>
      <c r="H78" s="4" t="s">
        <v>17</v>
      </c>
      <c r="I78" s="4">
        <v>3</v>
      </c>
      <c r="J78" s="4" t="s">
        <v>297</v>
      </c>
      <c r="K78" s="4" t="s">
        <v>250</v>
      </c>
      <c r="L78" s="1" t="s">
        <v>135</v>
      </c>
      <c r="M78" s="4" t="s">
        <v>136</v>
      </c>
      <c r="N78" s="4" t="s">
        <v>137</v>
      </c>
    </row>
    <row r="79" spans="1:14" customHeight="1" ht="78">
      <c r="A79" s="3" t="s">
        <v>403</v>
      </c>
      <c r="B79" s="1" t="s">
        <v>28</v>
      </c>
      <c r="C79" s="1" t="s">
        <v>21</v>
      </c>
      <c r="D79" s="1" t="s">
        <v>233</v>
      </c>
      <c r="E79" s="1" t="s">
        <v>242</v>
      </c>
      <c r="F79" s="1" t="s">
        <v>404</v>
      </c>
      <c r="G79" s="9" t="s">
        <v>405</v>
      </c>
      <c r="H79" s="4" t="s">
        <v>17</v>
      </c>
      <c r="I79" s="4">
        <v>3</v>
      </c>
      <c r="J79" s="4" t="s">
        <v>297</v>
      </c>
      <c r="K79" s="4" t="s">
        <v>250</v>
      </c>
      <c r="L79" s="1" t="s">
        <v>135</v>
      </c>
      <c r="M79" s="4" t="s">
        <v>136</v>
      </c>
      <c r="N79" s="4" t="s">
        <v>137</v>
      </c>
    </row>
    <row r="80" spans="1:14" customHeight="1" ht="78">
      <c r="A80" s="3" t="s">
        <v>406</v>
      </c>
      <c r="B80" s="1" t="s">
        <v>32</v>
      </c>
      <c r="C80" s="1" t="s">
        <v>21</v>
      </c>
      <c r="D80" s="1" t="s">
        <v>233</v>
      </c>
      <c r="E80" s="1" t="s">
        <v>263</v>
      </c>
      <c r="F80" s="1" t="s">
        <v>407</v>
      </c>
      <c r="G80" s="9" t="s">
        <v>408</v>
      </c>
      <c r="H80" s="4" t="s">
        <v>17</v>
      </c>
      <c r="I80" s="4">
        <v>2</v>
      </c>
      <c r="J80" s="4" t="s">
        <v>297</v>
      </c>
      <c r="K80" s="4" t="s">
        <v>250</v>
      </c>
      <c r="L80" s="1" t="s">
        <v>135</v>
      </c>
      <c r="M80" s="4" t="s">
        <v>136</v>
      </c>
      <c r="N80" s="4" t="s">
        <v>137</v>
      </c>
    </row>
    <row r="81" spans="1:14" customHeight="1" ht="78">
      <c r="A81" s="3" t="s">
        <v>409</v>
      </c>
      <c r="B81" s="1" t="s">
        <v>32</v>
      </c>
      <c r="C81" s="1" t="s">
        <v>21</v>
      </c>
      <c r="D81" s="1" t="s">
        <v>233</v>
      </c>
      <c r="E81" s="1" t="s">
        <v>263</v>
      </c>
      <c r="F81" s="1" t="s">
        <v>410</v>
      </c>
      <c r="G81" s="9" t="s">
        <v>411</v>
      </c>
      <c r="H81" s="4" t="s">
        <v>69</v>
      </c>
      <c r="I81" s="4">
        <v>3</v>
      </c>
      <c r="J81" s="4" t="s">
        <v>297</v>
      </c>
      <c r="K81" s="4" t="s">
        <v>250</v>
      </c>
      <c r="L81" s="1" t="s">
        <v>135</v>
      </c>
      <c r="M81" s="4" t="s">
        <v>136</v>
      </c>
      <c r="N81" s="4" t="s">
        <v>137</v>
      </c>
    </row>
    <row r="82" spans="1:14" customHeight="1" ht="78">
      <c r="A82" s="3" t="s">
        <v>412</v>
      </c>
      <c r="B82" s="1" t="s">
        <v>32</v>
      </c>
      <c r="C82" s="1" t="s">
        <v>21</v>
      </c>
      <c r="D82" s="1" t="s">
        <v>233</v>
      </c>
      <c r="E82" s="1" t="s">
        <v>413</v>
      </c>
      <c r="F82" s="1" t="s">
        <v>414</v>
      </c>
      <c r="G82" s="9" t="s">
        <v>415</v>
      </c>
      <c r="H82" s="4" t="s">
        <v>17</v>
      </c>
      <c r="I82" s="4">
        <v>3</v>
      </c>
      <c r="J82" s="4" t="s">
        <v>297</v>
      </c>
      <c r="K82" s="4" t="s">
        <v>250</v>
      </c>
      <c r="L82" s="1" t="s">
        <v>135</v>
      </c>
      <c r="M82" s="4" t="s">
        <v>136</v>
      </c>
      <c r="N82" s="4" t="s">
        <v>137</v>
      </c>
    </row>
    <row r="83" spans="1:14" customHeight="1" ht="78">
      <c r="A83" s="3" t="s">
        <v>416</v>
      </c>
      <c r="B83" s="1" t="s">
        <v>28</v>
      </c>
      <c r="C83" s="1" t="s">
        <v>21</v>
      </c>
      <c r="D83" s="1" t="s">
        <v>233</v>
      </c>
      <c r="E83" s="1" t="s">
        <v>242</v>
      </c>
      <c r="F83" s="1" t="s">
        <v>417</v>
      </c>
      <c r="G83" s="9" t="s">
        <v>418</v>
      </c>
      <c r="H83" s="4" t="s">
        <v>69</v>
      </c>
      <c r="I83" s="4">
        <v>3</v>
      </c>
      <c r="J83" s="4" t="s">
        <v>297</v>
      </c>
      <c r="K83" s="4" t="s">
        <v>250</v>
      </c>
      <c r="L83" s="1" t="s">
        <v>135</v>
      </c>
      <c r="M83" s="4" t="s">
        <v>136</v>
      </c>
      <c r="N83" s="4" t="s">
        <v>137</v>
      </c>
    </row>
    <row r="84" spans="1:14" customHeight="1" ht="78">
      <c r="A84" s="3" t="s">
        <v>419</v>
      </c>
      <c r="B84" s="1" t="s">
        <v>32</v>
      </c>
      <c r="C84" s="1" t="s">
        <v>21</v>
      </c>
      <c r="D84" s="1" t="s">
        <v>233</v>
      </c>
      <c r="E84" s="1" t="s">
        <v>413</v>
      </c>
      <c r="F84" s="1" t="s">
        <v>420</v>
      </c>
      <c r="G84" s="9" t="s">
        <v>421</v>
      </c>
      <c r="H84" s="4" t="s">
        <v>17</v>
      </c>
      <c r="I84" s="4">
        <v>3</v>
      </c>
      <c r="J84" s="4" t="s">
        <v>297</v>
      </c>
      <c r="K84" s="4" t="s">
        <v>250</v>
      </c>
      <c r="L84" s="1" t="s">
        <v>135</v>
      </c>
      <c r="M84" s="4" t="s">
        <v>136</v>
      </c>
      <c r="N84" s="4" t="s">
        <v>137</v>
      </c>
    </row>
    <row r="85" spans="1:14" customHeight="1" ht="78">
      <c r="A85" s="3" t="s">
        <v>422</v>
      </c>
      <c r="B85" s="1" t="s">
        <v>28</v>
      </c>
      <c r="C85" s="1" t="s">
        <v>21</v>
      </c>
      <c r="D85" s="1" t="s">
        <v>233</v>
      </c>
      <c r="E85" s="1" t="s">
        <v>242</v>
      </c>
      <c r="F85" s="1" t="s">
        <v>423</v>
      </c>
      <c r="G85" s="9" t="s">
        <v>424</v>
      </c>
      <c r="H85" s="4" t="s">
        <v>17</v>
      </c>
      <c r="I85" s="4">
        <v>3</v>
      </c>
      <c r="J85" s="4" t="s">
        <v>297</v>
      </c>
      <c r="K85" s="4" t="s">
        <v>250</v>
      </c>
      <c r="L85" s="1" t="s">
        <v>135</v>
      </c>
      <c r="M85" s="4" t="s">
        <v>136</v>
      </c>
      <c r="N85" s="4" t="s">
        <v>137</v>
      </c>
    </row>
    <row r="86" spans="1:14" customHeight="1" ht="78">
      <c r="A86" s="3" t="s">
        <v>425</v>
      </c>
      <c r="B86" s="1" t="s">
        <v>28</v>
      </c>
      <c r="C86" s="1" t="s">
        <v>21</v>
      </c>
      <c r="D86" s="1" t="s">
        <v>233</v>
      </c>
      <c r="E86" s="1" t="s">
        <v>426</v>
      </c>
      <c r="F86" s="1" t="s">
        <v>427</v>
      </c>
      <c r="G86" s="9" t="s">
        <v>428</v>
      </c>
      <c r="H86" s="4" t="s">
        <v>17</v>
      </c>
      <c r="I86" s="4">
        <v>5</v>
      </c>
      <c r="J86" s="4" t="s">
        <v>297</v>
      </c>
      <c r="K86" s="4" t="s">
        <v>250</v>
      </c>
      <c r="L86" s="1" t="s">
        <v>135</v>
      </c>
      <c r="M86" s="4" t="s">
        <v>136</v>
      </c>
      <c r="N86" s="4" t="s">
        <v>137</v>
      </c>
    </row>
    <row r="87" spans="1:14" customHeight="1" ht="78">
      <c r="A87" s="3" t="s">
        <v>429</v>
      </c>
      <c r="B87" s="1" t="s">
        <v>64</v>
      </c>
      <c r="C87" s="1" t="s">
        <v>66</v>
      </c>
      <c r="D87" s="1" t="s">
        <v>233</v>
      </c>
      <c r="E87" s="1" t="s">
        <v>430</v>
      </c>
      <c r="F87" s="1" t="s">
        <v>431</v>
      </c>
      <c r="G87" s="9" t="s">
        <v>432</v>
      </c>
      <c r="H87" s="4" t="s">
        <v>69</v>
      </c>
      <c r="I87" s="4">
        <v>2</v>
      </c>
      <c r="J87" s="4" t="s">
        <v>297</v>
      </c>
      <c r="K87" s="4" t="s">
        <v>250</v>
      </c>
      <c r="L87" s="1" t="s">
        <v>135</v>
      </c>
      <c r="M87" s="4" t="s">
        <v>136</v>
      </c>
      <c r="N87" s="4" t="s">
        <v>137</v>
      </c>
    </row>
    <row r="88" spans="1:14" customHeight="1" ht="78">
      <c r="A88" s="3" t="s">
        <v>433</v>
      </c>
      <c r="B88" s="1" t="s">
        <v>70</v>
      </c>
      <c r="C88" s="1" t="s">
        <v>72</v>
      </c>
      <c r="D88" s="1" t="s">
        <v>233</v>
      </c>
      <c r="E88" s="1" t="s">
        <v>434</v>
      </c>
      <c r="F88" s="1" t="s">
        <v>435</v>
      </c>
      <c r="G88" s="9" t="s">
        <v>436</v>
      </c>
      <c r="H88" s="4" t="s">
        <v>69</v>
      </c>
      <c r="I88" s="4">
        <v>2</v>
      </c>
      <c r="J88" s="4" t="s">
        <v>297</v>
      </c>
      <c r="K88" s="4" t="s">
        <v>250</v>
      </c>
      <c r="L88" s="1" t="s">
        <v>135</v>
      </c>
      <c r="M88" s="4" t="s">
        <v>136</v>
      </c>
      <c r="N88" s="4" t="s">
        <v>137</v>
      </c>
    </row>
    <row r="89" spans="1:14" customHeight="1" ht="78">
      <c r="A89" s="3" t="s">
        <v>437</v>
      </c>
      <c r="B89" s="1" t="s">
        <v>48</v>
      </c>
      <c r="C89" s="1" t="s">
        <v>50</v>
      </c>
      <c r="D89" s="1" t="s">
        <v>344</v>
      </c>
      <c r="E89" s="1" t="s">
        <v>384</v>
      </c>
      <c r="F89" s="1" t="s">
        <v>438</v>
      </c>
      <c r="G89" s="9" t="s">
        <v>439</v>
      </c>
      <c r="H89" s="4" t="s">
        <v>69</v>
      </c>
      <c r="I89" s="4">
        <v>5</v>
      </c>
      <c r="J89" s="4" t="s">
        <v>297</v>
      </c>
      <c r="K89" s="4" t="s">
        <v>250</v>
      </c>
      <c r="L89" s="1" t="s">
        <v>135</v>
      </c>
      <c r="M89" s="4" t="s">
        <v>136</v>
      </c>
      <c r="N89" s="4" t="s">
        <v>137</v>
      </c>
    </row>
    <row r="90" spans="1:14" customHeight="1" ht="78">
      <c r="A90" s="3" t="s">
        <v>440</v>
      </c>
      <c r="B90" s="1" t="s">
        <v>28</v>
      </c>
      <c r="C90" s="1" t="s">
        <v>21</v>
      </c>
      <c r="D90" s="1" t="s">
        <v>233</v>
      </c>
      <c r="E90" s="1" t="s">
        <v>242</v>
      </c>
      <c r="F90" s="1" t="s">
        <v>441</v>
      </c>
      <c r="G90" s="9" t="s">
        <v>442</v>
      </c>
      <c r="H90" s="4" t="s">
        <v>100</v>
      </c>
      <c r="I90" s="4">
        <v>2</v>
      </c>
      <c r="J90" s="4" t="s">
        <v>297</v>
      </c>
      <c r="K90" s="4" t="s">
        <v>250</v>
      </c>
      <c r="L90" s="1" t="s">
        <v>135</v>
      </c>
      <c r="M90" s="4" t="s">
        <v>136</v>
      </c>
      <c r="N90" s="4" t="s">
        <v>137</v>
      </c>
    </row>
    <row r="91" spans="1:14" customHeight="1" ht="14.25">
      <c r="A91" s="5"/>
      <c r="B91" s="5"/>
      <c r="C91" s="5"/>
      <c r="D91" s="5"/>
      <c r="E91" s="5"/>
      <c r="F91" s="5" t="s">
        <v>443</v>
      </c>
      <c r="G91" s="5"/>
      <c r="H91" s="5" t="str">
        <f>COUNTA(A6:A90)&amp;" User Stories"</f>
        <v>0</v>
      </c>
      <c r="I91" s="6" t="str">
        <f>SUM(I6:I90)</f>
        <v>0</v>
      </c>
      <c r="J91" s="5"/>
      <c r="K91" s="5"/>
      <c r="L91" s="5"/>
      <c r="M91" s="5"/>
      <c r="N91" s="5"/>
    </row>
    <row r="93" spans="1:14" customHeight="1" ht="14.25">
      <c r="A93" s="40" t="s">
        <v>444</v>
      </c>
      <c r="B93" s="39"/>
      <c r="C93" s="39"/>
      <c r="D93" s="39"/>
      <c r="E93" s="39"/>
      <c r="F93" s="39"/>
      <c r="G93" s="39"/>
      <c r="H93" s="39"/>
      <c r="I93" s="39"/>
      <c r="J93" s="39"/>
      <c r="K93" s="39"/>
      <c r="L93" s="39"/>
      <c r="M93" s="39"/>
      <c r="N93" s="39"/>
    </row>
  </sheetData>
  <autoFilter ref="A5:N76"/>
  <mergeCells>
    <mergeCell ref="A93:N93"/>
    <mergeCell ref="A2:N2"/>
    <mergeCell ref="A1:N1"/>
  </mergeCells>
  <conditionalFormatting sqref="H6:H90">
    <cfRule type="cellIs" dxfId="0" priority="1" operator="equal">
      <formula>"Must have"</formula>
    </cfRule>
  </conditionalFormatting>
  <dataValidations count="2">
    <dataValidation type="list" allowBlank="1" showDropDown="0" showInputMessage="0" showErrorMessage="0" sqref="M6:M76">
      <formula1>"Oui,Non"</formula1>
      <formula2>0</formula2>
    </dataValidation>
    <dataValidation type="list" allowBlank="1" showDropDown="0" showInputMessage="0" showErrorMessage="0" sqref="N6:N76">
      <formula1>"À faire,En cours,En revue,Terminée,Acceptée,Bloquée"</formula1>
      <formula2>0</formula2>
    </dataValidation>
  </dataValidations>
  <printOptions gridLines="false" gridLinesSet="true"/>
  <pageMargins left="0.75" right="0.75" top="1" bottom="1" header="0.51181102362205" footer="0.51181102362205"/>
  <pageSetup paperSize="9" orientation="portrai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0E3A66"/>
    <outlinePr summaryBelow="1" summaryRight="1"/>
  </sheetPr>
  <dimension ref="A1:I10"/>
  <sheetViews>
    <sheetView tabSelected="0" workbookViewId="0" zoomScale="99" zoomScaleNormal="99" showGridLines="false" showRowColHeaders="1">
      <pane ySplit="3" topLeftCell="A4" activePane="bottomLeft" state="frozen"/>
      <selection pane="bottomLeft" activeCell="A10" sqref="A10:I10"/>
    </sheetView>
  </sheetViews>
  <sheetFormatPr defaultRowHeight="14.4" defaultColWidth="8.6640625" outlineLevelRow="0" outlineLevelCol="0"/>
  <cols>
    <col min="1" max="1" width="11" customWidth="true" style="0"/>
    <col min="2" max="2" width="13" customWidth="true" style="0"/>
    <col min="3" max="3" width="13" customWidth="true" style="0"/>
    <col min="4" max="4" width="10" customWidth="true" style="0"/>
    <col min="5" max="5" width="15" customWidth="true" style="0"/>
    <col min="6" max="6" width="16" customWidth="true" style="0"/>
    <col min="7" max="7" width="9" customWidth="true" style="0"/>
    <col min="8" max="8" width="92" customWidth="true" style="0"/>
    <col min="9" max="9" width="14" customWidth="true" style="0"/>
  </cols>
  <sheetData>
    <row r="1" spans="1:9" customHeight="1" ht="25.5">
      <c r="A1" s="38" t="s">
        <v>445</v>
      </c>
      <c r="B1" s="39"/>
      <c r="C1" s="39"/>
      <c r="D1" s="39"/>
      <c r="E1" s="39"/>
      <c r="F1" s="39"/>
      <c r="G1" s="39"/>
      <c r="H1" s="39"/>
      <c r="I1" s="39"/>
    </row>
    <row r="2" spans="1:9" customHeight="1" ht="14.25">
      <c r="A2" s="40" t="s">
        <v>446</v>
      </c>
      <c r="B2" s="39"/>
      <c r="C2" s="39"/>
      <c r="D2" s="39"/>
      <c r="E2" s="39"/>
      <c r="F2" s="39"/>
      <c r="G2" s="39"/>
      <c r="H2" s="39"/>
      <c r="I2" s="39"/>
    </row>
    <row r="5" spans="1:9" customHeight="1" ht="30">
      <c r="A5" s="2" t="s">
        <v>447</v>
      </c>
      <c r="B5" s="2" t="s">
        <v>448</v>
      </c>
      <c r="C5" s="2" t="s">
        <v>449</v>
      </c>
      <c r="D5" s="2" t="s">
        <v>124</v>
      </c>
      <c r="E5" s="2" t="s">
        <v>450</v>
      </c>
      <c r="F5" s="2" t="s">
        <v>451</v>
      </c>
      <c r="G5" s="2" t="s">
        <v>452</v>
      </c>
      <c r="H5" s="2" t="s">
        <v>453</v>
      </c>
      <c r="I5" s="2" t="s">
        <v>127</v>
      </c>
    </row>
    <row r="6" spans="1:9" customHeight="1" ht="39.75">
      <c r="A6" s="7" t="s">
        <v>454</v>
      </c>
      <c r="B6" s="17" t="s">
        <v>455</v>
      </c>
      <c r="C6" s="17" t="s">
        <v>456</v>
      </c>
      <c r="D6" s="17" t="s">
        <v>457</v>
      </c>
      <c r="E6" s="17">
        <v>0</v>
      </c>
      <c r="F6" s="17" t="str">
        <f>SUMIF('Product Backlog'!$J$6:$J$90,$A6,'Product Backlog'!$I$6:$I$90)</f>
        <v>0</v>
      </c>
      <c r="G6" s="17" t="str">
        <f>COUNTIF('Product Backlog'!$J$6:$J$90,$A6)</f>
        <v>0</v>
      </c>
      <c r="H6" s="18" t="s">
        <v>458</v>
      </c>
      <c r="I6" s="17" t="s">
        <v>459</v>
      </c>
    </row>
    <row r="7" spans="1:9" customHeight="1" ht="39.75">
      <c r="A7" s="7" t="s">
        <v>133</v>
      </c>
      <c r="B7" s="17" t="s">
        <v>460</v>
      </c>
      <c r="C7" s="17" t="s">
        <v>461</v>
      </c>
      <c r="D7" s="17" t="s">
        <v>134</v>
      </c>
      <c r="E7" s="17">
        <v>20</v>
      </c>
      <c r="F7" s="17" t="str">
        <f>SUMIF('Product Backlog'!$J$6:$J$90,$A7,'Product Backlog'!$I$6:$I$90)</f>
        <v>0</v>
      </c>
      <c r="G7" s="17" t="str">
        <f>COUNTIF('Product Backlog'!$J$6:$J$90,$A7)</f>
        <v>0</v>
      </c>
      <c r="H7" s="19" t="s">
        <v>462</v>
      </c>
      <c r="I7" s="17" t="s">
        <v>459</v>
      </c>
    </row>
    <row r="8" spans="1:9" customHeight="1" ht="39.75">
      <c r="A8" s="7" t="s">
        <v>245</v>
      </c>
      <c r="B8" s="17" t="s">
        <v>463</v>
      </c>
      <c r="C8" s="17" t="s">
        <v>464</v>
      </c>
      <c r="D8" s="17" t="s">
        <v>134</v>
      </c>
      <c r="E8" s="17">
        <v>22</v>
      </c>
      <c r="F8" s="17" t="str">
        <f>SUMIF('Product Backlog'!$J$6:$J$90,$A8,'Product Backlog'!$I$6:$I$90)</f>
        <v>0</v>
      </c>
      <c r="G8" s="17" t="str">
        <f>COUNTIF('Product Backlog'!$J$6:$J$90,$A8)</f>
        <v>0</v>
      </c>
      <c r="H8" s="20" t="s">
        <v>465</v>
      </c>
      <c r="I8" s="17" t="s">
        <v>459</v>
      </c>
    </row>
    <row r="9" spans="1:9" customHeight="1" ht="45.75">
      <c r="A9" s="7" t="s">
        <v>297</v>
      </c>
      <c r="B9" s="17" t="s">
        <v>466</v>
      </c>
      <c r="C9" s="17" t="s">
        <v>467</v>
      </c>
      <c r="D9" s="17" t="s">
        <v>250</v>
      </c>
      <c r="E9" s="17">
        <v>50</v>
      </c>
      <c r="F9" s="17" t="str">
        <f>SUMIF('Product Backlog'!$J$6:$J$90,$A9,'Product Backlog'!$I$6:$I$90)</f>
        <v>0</v>
      </c>
      <c r="G9" s="17" t="str">
        <f>COUNTIF('Product Backlog'!$J$6:$J$90,$A9)</f>
        <v>0</v>
      </c>
      <c r="H9" s="20" t="s">
        <v>468</v>
      </c>
      <c r="I9" s="17" t="s">
        <v>459</v>
      </c>
    </row>
    <row r="10" spans="1:9" customHeight="1" ht="100">
      <c r="A10" s="51" t="s">
        <v>249</v>
      </c>
      <c r="B10" s="51" t="s">
        <v>469</v>
      </c>
      <c r="C10" s="51" t="s">
        <v>470</v>
      </c>
      <c r="D10" s="51" t="s">
        <v>471</v>
      </c>
      <c r="E10" s="51" t="s">
        <v>471</v>
      </c>
      <c r="F10" s="51">
        <v>42</v>
      </c>
      <c r="G10" s="51">
        <v>11</v>
      </c>
      <c r="H10" s="51" t="s">
        <v>472</v>
      </c>
      <c r="I10" s="51" t="s">
        <v>473</v>
      </c>
    </row>
  </sheetData>
  <mergeCells>
    <mergeCell ref="A1:I1"/>
    <mergeCell ref="A2:I2"/>
  </mergeCells>
  <printOptions gridLines="false" gridLinesSet="true"/>
  <pageMargins left="0.75" right="0.75" top="1" bottom="1" header="0.51181102362205" footer="0.51181102362205"/>
  <pageSetup paperSize="9" orientation="portrai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E46C0A"/>
    <outlinePr summaryBelow="1" summaryRight="1"/>
  </sheetPr>
  <dimension ref="A1:K17"/>
  <sheetViews>
    <sheetView tabSelected="0" workbookViewId="0" zoomScale="130" zoomScaleNormal="130" showGridLines="false" showRowColHeaders="1">
      <pane ySplit="3" topLeftCell="A4" activePane="bottomLeft" state="frozen"/>
      <selection pane="bottomLeft" activeCell="H10" sqref="H10"/>
    </sheetView>
  </sheetViews>
  <sheetFormatPr defaultRowHeight="14.4" defaultColWidth="8.6640625" outlineLevelRow="0" outlineLevelCol="0"/>
  <cols>
    <col min="1" max="1" width="11" customWidth="true" style="0"/>
    <col min="2" max="2" width="12" customWidth="true" style="0"/>
    <col min="3" max="3" width="62" customWidth="true" style="0"/>
    <col min="4" max="4" width="16" customWidth="true" style="0"/>
    <col min="5" max="5" width="16" customWidth="true" style="0"/>
    <col min="6" max="6" width="16" customWidth="true" style="0"/>
    <col min="7" max="7" width="15" customWidth="true" style="0"/>
    <col min="8" max="8" width="17" customWidth="true" style="0"/>
    <col min="9" max="9" width="17" customWidth="true" style="0"/>
    <col min="10" max="10" width="14" customWidth="true" style="0"/>
    <col min="11" max="11" width="34" customWidth="true" style="0"/>
  </cols>
  <sheetData>
    <row r="1" spans="1:11" customHeight="1" ht="25.5">
      <c r="A1" s="38" t="s">
        <v>474</v>
      </c>
      <c r="B1" s="39"/>
      <c r="C1" s="39"/>
      <c r="D1" s="39"/>
      <c r="E1" s="39"/>
      <c r="F1" s="39"/>
      <c r="G1" s="39"/>
      <c r="H1" s="39"/>
      <c r="I1" s="39"/>
      <c r="J1" s="39"/>
      <c r="K1" s="39"/>
    </row>
    <row r="2" spans="1:11" customHeight="1" ht="14.25">
      <c r="A2" s="41" t="s">
        <v>475</v>
      </c>
      <c r="B2" s="39"/>
      <c r="C2" s="39"/>
      <c r="D2" s="39"/>
      <c r="E2" s="39"/>
      <c r="F2" s="39"/>
      <c r="G2" s="39"/>
      <c r="H2" s="39"/>
      <c r="I2" s="39"/>
      <c r="J2" s="39"/>
      <c r="K2" s="39"/>
    </row>
    <row r="3" spans="1:11" customHeight="1" ht="15"/>
    <row r="4" spans="1:11" customHeight="1" ht="31.5">
      <c r="A4" s="21" t="s">
        <v>453</v>
      </c>
      <c r="B4" s="42" t="s">
        <v>458</v>
      </c>
      <c r="C4" s="43"/>
      <c r="D4" s="43"/>
      <c r="E4" s="43"/>
      <c r="F4" s="43"/>
      <c r="G4" s="43"/>
      <c r="H4" s="43"/>
      <c r="I4" s="43"/>
      <c r="J4" s="43"/>
      <c r="K4" s="44"/>
    </row>
    <row r="6" spans="1:11" customHeight="1" ht="30">
      <c r="A6" s="2" t="s">
        <v>476</v>
      </c>
      <c r="B6" s="2" t="s">
        <v>477</v>
      </c>
      <c r="C6" s="2" t="s">
        <v>478</v>
      </c>
      <c r="D6" s="2" t="s">
        <v>479</v>
      </c>
      <c r="E6" s="22" t="s">
        <v>480</v>
      </c>
      <c r="F6" s="22" t="s">
        <v>481</v>
      </c>
      <c r="G6" s="2" t="s">
        <v>482</v>
      </c>
      <c r="H6" s="2" t="s">
        <v>483</v>
      </c>
      <c r="I6" s="22" t="s">
        <v>484</v>
      </c>
      <c r="J6" s="2" t="s">
        <v>127</v>
      </c>
      <c r="K6" s="2" t="s">
        <v>485</v>
      </c>
    </row>
    <row r="7" spans="1:11" customHeight="1" ht="26.25">
      <c r="A7" s="1" t="s">
        <v>486</v>
      </c>
      <c r="B7" s="8" t="s">
        <v>103</v>
      </c>
      <c r="C7" s="23" t="s">
        <v>487</v>
      </c>
      <c r="D7" s="1" t="s">
        <v>488</v>
      </c>
      <c r="E7" s="24">
        <v>46244</v>
      </c>
      <c r="F7" s="24">
        <v>46244</v>
      </c>
      <c r="G7" s="4">
        <v>2</v>
      </c>
      <c r="H7" s="4" t="str">
        <f>0</f>
        <v>0</v>
      </c>
      <c r="I7" s="4"/>
      <c r="J7" s="4" t="s">
        <v>137</v>
      </c>
      <c r="K7" s="1"/>
    </row>
    <row r="8" spans="1:11" customHeight="1" ht="14.25">
      <c r="A8" s="1" t="s">
        <v>489</v>
      </c>
      <c r="B8" s="1" t="s">
        <v>103</v>
      </c>
      <c r="C8" s="25" t="s">
        <v>490</v>
      </c>
      <c r="D8" s="1" t="s">
        <v>488</v>
      </c>
      <c r="E8" s="24">
        <v>46244</v>
      </c>
      <c r="F8" s="24">
        <v>46244</v>
      </c>
      <c r="G8" s="4">
        <v>3</v>
      </c>
      <c r="H8" s="4" t="str">
        <f>0</f>
        <v>0</v>
      </c>
      <c r="I8" s="4"/>
      <c r="J8" s="4" t="s">
        <v>137</v>
      </c>
      <c r="K8" s="1"/>
    </row>
    <row r="9" spans="1:11" customHeight="1" ht="14.25">
      <c r="A9" s="1" t="s">
        <v>491</v>
      </c>
      <c r="B9" s="1" t="s">
        <v>103</v>
      </c>
      <c r="C9" s="1" t="s">
        <v>492</v>
      </c>
      <c r="D9" s="1" t="s">
        <v>488</v>
      </c>
      <c r="E9" s="24">
        <v>46244</v>
      </c>
      <c r="F9" s="24">
        <v>46244</v>
      </c>
      <c r="G9" s="4">
        <v>4</v>
      </c>
      <c r="H9" s="4" t="str">
        <f>0</f>
        <v>0</v>
      </c>
      <c r="I9" s="4"/>
      <c r="J9" s="4" t="s">
        <v>137</v>
      </c>
      <c r="K9" s="1"/>
    </row>
    <row r="10" spans="1:11" customHeight="1" ht="14.25">
      <c r="A10" s="5"/>
      <c r="B10" s="5"/>
      <c r="C10" s="5" t="s">
        <v>114</v>
      </c>
      <c r="D10" s="5"/>
      <c r="E10" s="5"/>
      <c r="F10" s="5"/>
      <c r="G10" s="6" t="str">
        <f>SUM(G7:G9)</f>
        <v>0</v>
      </c>
      <c r="H10" s="6" t="str">
        <f>SUM(H7:H9)</f>
        <v>0</v>
      </c>
      <c r="I10" s="6"/>
      <c r="J10" s="5"/>
      <c r="K10" s="5"/>
    </row>
    <row r="12" spans="1:11" customHeight="1" ht="14.25">
      <c r="A12" s="41" t="s">
        <v>493</v>
      </c>
      <c r="B12" s="39"/>
      <c r="C12" s="39"/>
      <c r="D12" s="39"/>
      <c r="E12" s="39"/>
      <c r="F12" s="39"/>
      <c r="G12" s="39"/>
      <c r="H12" s="39"/>
      <c r="I12" s="39"/>
      <c r="J12" s="39"/>
      <c r="K12" s="39"/>
    </row>
    <row r="13" spans="1:11" customHeight="1" ht="14.25">
      <c r="A13" s="39"/>
      <c r="B13" s="39"/>
      <c r="C13" s="39"/>
      <c r="D13" s="39"/>
      <c r="E13" s="39"/>
      <c r="F13" s="39"/>
      <c r="G13" s="39"/>
      <c r="H13" s="39"/>
      <c r="I13" s="39"/>
      <c r="J13" s="39"/>
      <c r="K13" s="39"/>
    </row>
    <row r="17" spans="1:11" customHeight="1" ht="14.25">
      <c r="C17" s="26"/>
    </row>
  </sheetData>
  <mergeCells>
    <mergeCell ref="A2:K2"/>
    <mergeCell ref="B4:K4"/>
    <mergeCell ref="A1:K1"/>
    <mergeCell ref="A12:K13"/>
  </mergeCells>
  <dataValidations count="1">
    <dataValidation type="list" allowBlank="1" showDropDown="0" showInputMessage="0" showErrorMessage="0" sqref="J7:J9">
      <formula1>"À faire,En cours,En revue,Terminée,Bloquée"</formula1>
      <formula2>0</formula2>
    </dataValidation>
  </dataValidations>
  <printOptions gridLines="false" gridLinesSet="true"/>
  <pageMargins left="0.75" right="0.75" top="1" bottom="1" header="0.51181102362205" footer="0.51181102362205"/>
  <pageSetup paperSize="9" orientation="portrai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18"/>
  <sheetViews>
    <sheetView tabSelected="0" workbookViewId="0" showGridLines="true" showRowColHeaders="1">
      <selection activeCell="H11" sqref="H11"/>
    </sheetView>
  </sheetViews>
  <sheetFormatPr defaultRowHeight="14.4" defaultColWidth="8.6640625" outlineLevelRow="0" outlineLevelCol="0"/>
  <cols>
    <col min="1" max="1" width="11" customWidth="true" style="0"/>
    <col min="2" max="2" width="12" customWidth="true" style="0"/>
    <col min="3" max="3" width="62" customWidth="true" style="0"/>
    <col min="4" max="4" width="16" customWidth="true" style="0"/>
    <col min="5" max="5" width="16" customWidth="true" style="0"/>
    <col min="6" max="6" width="16" customWidth="true" style="0"/>
    <col min="7" max="7" width="15" customWidth="true" style="0"/>
    <col min="8" max="8" width="17" customWidth="true" style="0"/>
    <col min="9" max="9" width="17" customWidth="true" style="0"/>
    <col min="10" max="10" width="14" customWidth="true" style="0"/>
    <col min="11" max="11" width="34" customWidth="true" style="0"/>
  </cols>
  <sheetData>
    <row r="1" spans="1:11" customHeight="1" ht="25.5">
      <c r="A1" s="38" t="s">
        <v>494</v>
      </c>
      <c r="B1" s="39"/>
      <c r="C1" s="39"/>
      <c r="D1" s="39"/>
      <c r="E1" s="39"/>
      <c r="F1" s="39"/>
      <c r="G1" s="39"/>
      <c r="H1" s="39"/>
      <c r="I1" s="39"/>
      <c r="J1" s="39"/>
      <c r="K1" s="39"/>
    </row>
    <row r="2" spans="1:11" customHeight="1" ht="14.25">
      <c r="A2" s="41" t="s">
        <v>475</v>
      </c>
      <c r="B2" s="39"/>
      <c r="C2" s="39"/>
      <c r="D2" s="39"/>
      <c r="E2" s="39"/>
      <c r="F2" s="39"/>
      <c r="G2" s="39"/>
      <c r="H2" s="39"/>
      <c r="I2" s="39"/>
      <c r="J2" s="39"/>
      <c r="K2" s="39"/>
    </row>
    <row r="3" spans="1:11" customHeight="1" ht="15"/>
    <row r="4" spans="1:11" customHeight="1" ht="31.5">
      <c r="A4" s="21" t="s">
        <v>453</v>
      </c>
      <c r="B4" s="42" t="s">
        <v>458</v>
      </c>
      <c r="C4" s="43"/>
      <c r="D4" s="43"/>
      <c r="E4" s="43"/>
      <c r="F4" s="43"/>
      <c r="G4" s="43"/>
      <c r="H4" s="43"/>
      <c r="I4" s="43"/>
      <c r="J4" s="43"/>
      <c r="K4" s="44"/>
    </row>
    <row r="6" spans="1:11" customHeight="1" ht="30">
      <c r="A6" s="2" t="s">
        <v>476</v>
      </c>
      <c r="B6" s="2" t="s">
        <v>477</v>
      </c>
      <c r="C6" s="2" t="s">
        <v>478</v>
      </c>
      <c r="D6" s="2" t="s">
        <v>479</v>
      </c>
      <c r="E6" s="22" t="s">
        <v>480</v>
      </c>
      <c r="F6" s="22" t="s">
        <v>481</v>
      </c>
      <c r="G6" s="2" t="s">
        <v>482</v>
      </c>
      <c r="H6" s="2" t="s">
        <v>483</v>
      </c>
      <c r="I6" s="22" t="s">
        <v>484</v>
      </c>
      <c r="J6" s="2" t="s">
        <v>127</v>
      </c>
      <c r="K6" s="2" t="s">
        <v>485</v>
      </c>
    </row>
    <row r="7" spans="1:11" customHeight="1" ht="26.25">
      <c r="A7" s="1" t="s">
        <v>486</v>
      </c>
      <c r="B7" s="8" t="s">
        <v>103</v>
      </c>
      <c r="C7" s="23" t="s">
        <v>495</v>
      </c>
      <c r="D7" s="1" t="s">
        <v>496</v>
      </c>
      <c r="E7" s="24">
        <v>46244</v>
      </c>
      <c r="F7" s="24">
        <v>46244</v>
      </c>
      <c r="G7" s="4">
        <v>2</v>
      </c>
      <c r="H7" s="4" t="str">
        <f>0</f>
        <v>0</v>
      </c>
      <c r="I7" s="4"/>
      <c r="J7" s="4" t="s">
        <v>137</v>
      </c>
      <c r="K7" s="1"/>
    </row>
    <row r="8" spans="1:11" customHeight="1" ht="26.25">
      <c r="A8" s="1" t="s">
        <v>489</v>
      </c>
      <c r="B8" s="1" t="s">
        <v>103</v>
      </c>
      <c r="C8" s="23" t="s">
        <v>497</v>
      </c>
      <c r="D8" s="1" t="s">
        <v>496</v>
      </c>
      <c r="E8" s="24">
        <v>46244</v>
      </c>
      <c r="F8" s="24">
        <v>46244</v>
      </c>
      <c r="G8" s="4">
        <v>3</v>
      </c>
      <c r="H8" s="4" t="str">
        <f>0</f>
        <v>0</v>
      </c>
      <c r="I8" s="4"/>
      <c r="J8" s="4" t="s">
        <v>137</v>
      </c>
      <c r="K8" s="1"/>
    </row>
    <row r="9" spans="1:11" customHeight="1" ht="26.25">
      <c r="A9" s="1" t="s">
        <v>491</v>
      </c>
      <c r="B9" s="8" t="s">
        <v>103</v>
      </c>
      <c r="C9" s="23" t="s">
        <v>498</v>
      </c>
      <c r="D9" s="1" t="s">
        <v>496</v>
      </c>
      <c r="E9" s="24">
        <v>46244</v>
      </c>
      <c r="F9" s="24">
        <v>46244</v>
      </c>
      <c r="G9" s="4">
        <v>4</v>
      </c>
      <c r="H9" s="4" t="str">
        <f>0</f>
        <v>0</v>
      </c>
      <c r="I9" s="4"/>
      <c r="J9" s="4" t="s">
        <v>137</v>
      </c>
      <c r="K9" s="1"/>
    </row>
    <row r="10" spans="1:11" customHeight="1" ht="26.25">
      <c r="A10" s="1" t="s">
        <v>499</v>
      </c>
      <c r="B10" s="1" t="s">
        <v>103</v>
      </c>
      <c r="C10" s="23" t="s">
        <v>500</v>
      </c>
      <c r="D10" s="1" t="s">
        <v>496</v>
      </c>
      <c r="E10" s="24">
        <v>46244</v>
      </c>
      <c r="F10" s="24">
        <v>46244</v>
      </c>
      <c r="G10" s="4">
        <v>5</v>
      </c>
      <c r="H10" s="4" t="str">
        <f>0</f>
        <v>0</v>
      </c>
      <c r="I10" s="4"/>
      <c r="J10" s="4" t="s">
        <v>137</v>
      </c>
      <c r="K10" s="1"/>
    </row>
    <row r="11" spans="1:11" customHeight="1" ht="14.25">
      <c r="A11" s="5"/>
      <c r="B11" s="5"/>
      <c r="C11" s="5" t="s">
        <v>114</v>
      </c>
      <c r="D11" s="5"/>
      <c r="E11" s="5"/>
      <c r="F11" s="5"/>
      <c r="G11" s="6" t="str">
        <f>SUM(G7:G10)</f>
        <v>0</v>
      </c>
      <c r="H11" s="6" t="str">
        <f>SUM(H7:H10)</f>
        <v>0</v>
      </c>
      <c r="I11" s="6"/>
      <c r="J11" s="5"/>
      <c r="K11" s="5"/>
    </row>
    <row r="13" spans="1:11" customHeight="1" ht="14.25">
      <c r="A13" s="41" t="s">
        <v>493</v>
      </c>
      <c r="B13" s="39"/>
      <c r="C13" s="39"/>
      <c r="D13" s="39"/>
      <c r="E13" s="39"/>
      <c r="F13" s="39"/>
      <c r="G13" s="39"/>
      <c r="H13" s="39"/>
      <c r="I13" s="39"/>
      <c r="J13" s="39"/>
      <c r="K13" s="39"/>
    </row>
    <row r="14" spans="1:11" customHeight="1" ht="14.25">
      <c r="A14" s="39"/>
      <c r="B14" s="39"/>
      <c r="C14" s="39"/>
      <c r="D14" s="39"/>
      <c r="E14" s="39"/>
      <c r="F14" s="39"/>
      <c r="G14" s="39"/>
      <c r="H14" s="39"/>
      <c r="I14" s="39"/>
      <c r="J14" s="39"/>
      <c r="K14" s="39"/>
    </row>
    <row r="18" spans="1:11" customHeight="1" ht="14.25">
      <c r="C18" s="26"/>
    </row>
  </sheetData>
  <mergeCells>
    <mergeCell ref="A2:K2"/>
    <mergeCell ref="B4:K4"/>
    <mergeCell ref="A1:K1"/>
    <mergeCell ref="A13:K14"/>
  </mergeCells>
  <dataValidations count="1">
    <dataValidation type="list" allowBlank="1" showDropDown="0" showInputMessage="0" showErrorMessage="0" sqref="J7:J10">
      <formula1>"À faire,En cours,En revue,Terminée,Bloquée"</formula1>
      <formula2>0</formula2>
    </dataValidation>
  </dataValidations>
  <printOptions gridLines="false" gridLinesSet="true"/>
  <pageMargins left="0.7" right="0.7" top="0.75" bottom="0.75" header="0.51181102362205" footer="0.51181102362205"/>
  <pageSetup paperSize="9" orientation="portrai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1E7B34"/>
    <outlinePr summaryBelow="1" summaryRight="1"/>
  </sheetPr>
  <dimension ref="A1:K24"/>
  <sheetViews>
    <sheetView tabSelected="0" workbookViewId="0" zoomScale="130" zoomScaleNormal="130" showGridLines="false" showRowColHeaders="1">
      <pane ySplit="3" topLeftCell="A8" activePane="bottomLeft" state="frozen"/>
      <selection pane="bottomLeft" activeCell="H21" sqref="H21"/>
    </sheetView>
  </sheetViews>
  <sheetFormatPr defaultRowHeight="14.4" defaultColWidth="8.6640625" outlineLevelRow="0" outlineLevelCol="0"/>
  <cols>
    <col min="1" max="1" width="11" customWidth="true" style="0"/>
    <col min="2" max="2" width="12" customWidth="true" style="0"/>
    <col min="3" max="3" width="62" customWidth="true" style="0"/>
    <col min="4" max="4" width="16" customWidth="true" style="0"/>
    <col min="5" max="5" width="16" customWidth="true" style="0"/>
    <col min="6" max="6" width="16" customWidth="true" style="0"/>
    <col min="7" max="7" width="15" customWidth="true" style="0"/>
    <col min="8" max="8" width="17" customWidth="true" style="0"/>
    <col min="9" max="9" width="17" customWidth="true" style="0"/>
    <col min="10" max="10" width="14" customWidth="true" style="0"/>
    <col min="11" max="11" width="34" customWidth="true" style="0"/>
  </cols>
  <sheetData>
    <row r="1" spans="1:11" customHeight="1" ht="25.5">
      <c r="A1" s="38" t="s">
        <v>501</v>
      </c>
      <c r="B1" s="39"/>
      <c r="C1" s="39"/>
      <c r="D1" s="39"/>
      <c r="E1" s="39"/>
      <c r="F1" s="39"/>
      <c r="G1" s="39"/>
      <c r="H1" s="39"/>
      <c r="I1" s="39"/>
      <c r="J1" s="39"/>
      <c r="K1" s="39"/>
    </row>
    <row r="2" spans="1:11" customHeight="1" ht="14.25">
      <c r="A2" s="41" t="s">
        <v>502</v>
      </c>
      <c r="B2" s="39"/>
      <c r="C2" s="39"/>
      <c r="D2" s="39"/>
      <c r="E2" s="39"/>
      <c r="F2" s="39"/>
      <c r="G2" s="39"/>
      <c r="H2" s="39"/>
      <c r="I2" s="39"/>
      <c r="J2" s="39"/>
      <c r="K2" s="39"/>
    </row>
    <row r="3" spans="1:11" customHeight="1" ht="15"/>
    <row r="4" spans="1:11" customHeight="1" ht="31.5">
      <c r="A4" s="21" t="s">
        <v>453</v>
      </c>
      <c r="B4" s="42" t="s">
        <v>462</v>
      </c>
      <c r="C4" s="43"/>
      <c r="D4" s="43"/>
      <c r="E4" s="43"/>
      <c r="F4" s="43"/>
      <c r="G4" s="43"/>
      <c r="H4" s="43"/>
      <c r="I4" s="43"/>
      <c r="J4" s="43"/>
      <c r="K4" s="44"/>
    </row>
    <row r="6" spans="1:11" customHeight="1" ht="30">
      <c r="A6" s="2" t="s">
        <v>476</v>
      </c>
      <c r="B6" s="2" t="s">
        <v>477</v>
      </c>
      <c r="C6" s="2" t="s">
        <v>478</v>
      </c>
      <c r="D6" s="2" t="s">
        <v>479</v>
      </c>
      <c r="E6" s="22" t="s">
        <v>480</v>
      </c>
      <c r="F6" s="22" t="s">
        <v>481</v>
      </c>
      <c r="G6" s="2" t="s">
        <v>482</v>
      </c>
      <c r="H6" s="2" t="s">
        <v>483</v>
      </c>
      <c r="I6" s="22" t="s">
        <v>484</v>
      </c>
      <c r="J6" s="2" t="s">
        <v>127</v>
      </c>
      <c r="K6" s="2" t="s">
        <v>485</v>
      </c>
    </row>
    <row r="7" spans="1:11" customHeight="1" ht="14.25">
      <c r="A7" s="1" t="s">
        <v>503</v>
      </c>
      <c r="B7" s="1" t="s">
        <v>128</v>
      </c>
      <c r="C7" s="1" t="s">
        <v>504</v>
      </c>
      <c r="D7" s="1" t="s">
        <v>488</v>
      </c>
      <c r="E7" s="24">
        <v>46245</v>
      </c>
      <c r="F7" s="24">
        <v>46245</v>
      </c>
      <c r="G7" s="4">
        <v>1</v>
      </c>
      <c r="H7" s="4">
        <v>0</v>
      </c>
      <c r="I7" s="4">
        <v>3</v>
      </c>
      <c r="J7" s="4" t="s">
        <v>137</v>
      </c>
      <c r="K7" s="1"/>
    </row>
    <row r="8" spans="1:11" customHeight="1" ht="26.25">
      <c r="A8" s="1" t="s">
        <v>505</v>
      </c>
      <c r="B8" s="1" t="s">
        <v>128</v>
      </c>
      <c r="C8" s="1" t="s">
        <v>506</v>
      </c>
      <c r="D8" s="1" t="s">
        <v>488</v>
      </c>
      <c r="E8" s="24">
        <v>46245</v>
      </c>
      <c r="F8" s="24">
        <v>46245</v>
      </c>
      <c r="G8" s="4">
        <v>2</v>
      </c>
      <c r="H8" s="4" t="str">
        <f>G8</f>
        <v>0</v>
      </c>
      <c r="I8" s="4">
        <v>4</v>
      </c>
      <c r="J8" s="4" t="s">
        <v>137</v>
      </c>
      <c r="K8" s="1"/>
    </row>
    <row r="9" spans="1:11" customHeight="1" ht="14.25">
      <c r="A9" s="1" t="s">
        <v>507</v>
      </c>
      <c r="B9" s="1" t="s">
        <v>128</v>
      </c>
      <c r="C9" s="1" t="s">
        <v>508</v>
      </c>
      <c r="D9" s="1" t="s">
        <v>488</v>
      </c>
      <c r="E9" s="24">
        <v>46245</v>
      </c>
      <c r="F9" s="24">
        <v>46245</v>
      </c>
      <c r="G9" s="4">
        <v>1</v>
      </c>
      <c r="H9" s="4" t="str">
        <f>G9</f>
        <v>0</v>
      </c>
      <c r="I9" s="4">
        <v>2</v>
      </c>
      <c r="J9" s="4" t="s">
        <v>137</v>
      </c>
      <c r="K9" s="1"/>
    </row>
    <row r="10" spans="1:11" customHeight="1" ht="14.25">
      <c r="A10" s="1" t="s">
        <v>509</v>
      </c>
      <c r="B10" s="1" t="s">
        <v>128</v>
      </c>
      <c r="C10" s="1" t="s">
        <v>510</v>
      </c>
      <c r="D10" s="1" t="s">
        <v>488</v>
      </c>
      <c r="E10" s="24">
        <v>46245</v>
      </c>
      <c r="F10" s="24">
        <v>46245</v>
      </c>
      <c r="G10" s="4">
        <v>2</v>
      </c>
      <c r="H10" s="4" t="str">
        <f>G10</f>
        <v>0</v>
      </c>
      <c r="I10" s="4">
        <v>3</v>
      </c>
      <c r="J10" s="4" t="s">
        <v>137</v>
      </c>
      <c r="K10" s="1"/>
    </row>
    <row r="11" spans="1:11" customHeight="1" ht="14.25">
      <c r="A11" s="1" t="s">
        <v>511</v>
      </c>
      <c r="B11" s="1" t="s">
        <v>138</v>
      </c>
      <c r="C11" s="1" t="s">
        <v>512</v>
      </c>
      <c r="D11" s="1" t="s">
        <v>488</v>
      </c>
      <c r="E11" s="24">
        <v>46245</v>
      </c>
      <c r="F11" s="24">
        <v>46245</v>
      </c>
      <c r="G11" s="4">
        <v>2</v>
      </c>
      <c r="H11" s="4" t="str">
        <f>G11</f>
        <v>0</v>
      </c>
      <c r="I11" s="4">
        <v>2</v>
      </c>
      <c r="J11" s="4" t="s">
        <v>137</v>
      </c>
      <c r="K11" s="1"/>
    </row>
    <row r="12" spans="1:11" customHeight="1" ht="26.25">
      <c r="A12" s="1" t="s">
        <v>513</v>
      </c>
      <c r="B12" s="1" t="s">
        <v>138</v>
      </c>
      <c r="C12" s="1" t="s">
        <v>514</v>
      </c>
      <c r="D12" s="1" t="s">
        <v>488</v>
      </c>
      <c r="E12" s="24">
        <v>46245</v>
      </c>
      <c r="F12" s="24">
        <v>46245</v>
      </c>
      <c r="G12" s="4">
        <v>3</v>
      </c>
      <c r="H12" s="4" t="str">
        <f>G12</f>
        <v>0</v>
      </c>
      <c r="I12" s="4">
        <v>3</v>
      </c>
      <c r="J12" s="4" t="s">
        <v>137</v>
      </c>
      <c r="K12" s="1"/>
    </row>
    <row r="13" spans="1:11" customHeight="1" ht="14.25">
      <c r="A13" s="1" t="s">
        <v>515</v>
      </c>
      <c r="B13" s="1" t="s">
        <v>138</v>
      </c>
      <c r="C13" s="1" t="s">
        <v>516</v>
      </c>
      <c r="D13" s="1" t="s">
        <v>488</v>
      </c>
      <c r="E13" s="24">
        <v>46245</v>
      </c>
      <c r="F13" s="24">
        <v>46245</v>
      </c>
      <c r="G13" s="4">
        <v>1</v>
      </c>
      <c r="H13" s="4" t="str">
        <f>G13</f>
        <v>0</v>
      </c>
      <c r="I13" s="4">
        <v>2</v>
      </c>
      <c r="J13" s="4" t="s">
        <v>137</v>
      </c>
      <c r="K13" s="1"/>
    </row>
    <row r="14" spans="1:11" customHeight="1" ht="14.25">
      <c r="A14" s="1" t="s">
        <v>517</v>
      </c>
      <c r="B14" s="1" t="s">
        <v>138</v>
      </c>
      <c r="C14" s="1" t="s">
        <v>518</v>
      </c>
      <c r="D14" s="1" t="s">
        <v>488</v>
      </c>
      <c r="E14" s="24">
        <v>46245</v>
      </c>
      <c r="F14" s="24">
        <v>46245</v>
      </c>
      <c r="G14" s="4">
        <v>2</v>
      </c>
      <c r="H14" s="4" t="str">
        <f>G14</f>
        <v>0</v>
      </c>
      <c r="I14" s="4">
        <v>4</v>
      </c>
      <c r="J14" s="4" t="s">
        <v>137</v>
      </c>
      <c r="K14" s="1"/>
    </row>
    <row r="15" spans="1:11" customHeight="1" ht="14.25">
      <c r="A15" s="1" t="s">
        <v>519</v>
      </c>
      <c r="B15" s="1" t="s">
        <v>160</v>
      </c>
      <c r="C15" s="1" t="s">
        <v>520</v>
      </c>
      <c r="D15" s="1" t="s">
        <v>488</v>
      </c>
      <c r="E15" s="27">
        <v>46246</v>
      </c>
      <c r="F15" s="27">
        <v>46246</v>
      </c>
      <c r="G15" s="4">
        <v>1</v>
      </c>
      <c r="H15" s="4" t="str">
        <f>G15</f>
        <v>0</v>
      </c>
      <c r="I15" s="4">
        <v>1</v>
      </c>
      <c r="J15" s="4" t="s">
        <v>137</v>
      </c>
      <c r="K15" s="1"/>
    </row>
    <row r="16" spans="1:11" customHeight="1" ht="26.25">
      <c r="A16" s="1" t="s">
        <v>521</v>
      </c>
      <c r="B16" s="1" t="s">
        <v>160</v>
      </c>
      <c r="C16" s="1" t="s">
        <v>522</v>
      </c>
      <c r="D16" s="1" t="s">
        <v>488</v>
      </c>
      <c r="E16" s="27">
        <v>46246</v>
      </c>
      <c r="F16" s="27">
        <v>46246</v>
      </c>
      <c r="G16" s="4">
        <v>2</v>
      </c>
      <c r="H16" s="4" t="str">
        <f>G16</f>
        <v>0</v>
      </c>
      <c r="I16" s="4">
        <v>3</v>
      </c>
      <c r="J16" s="4" t="s">
        <v>137</v>
      </c>
      <c r="K16" s="1"/>
    </row>
    <row r="17" spans="1:11" customHeight="1" ht="14.25">
      <c r="A17" s="1" t="s">
        <v>523</v>
      </c>
      <c r="B17" s="1" t="s">
        <v>221</v>
      </c>
      <c r="C17" s="1" t="s">
        <v>524</v>
      </c>
      <c r="D17" s="1" t="s">
        <v>488</v>
      </c>
      <c r="E17" s="27">
        <v>46246</v>
      </c>
      <c r="F17" s="27">
        <v>46246</v>
      </c>
      <c r="G17" s="4">
        <v>2</v>
      </c>
      <c r="H17" s="4" t="str">
        <f>G17</f>
        <v>0</v>
      </c>
      <c r="I17" s="4">
        <v>3</v>
      </c>
      <c r="J17" s="4" t="s">
        <v>137</v>
      </c>
      <c r="K17" s="1"/>
    </row>
    <row r="18" spans="1:11" customHeight="1" ht="26.25">
      <c r="A18" s="1" t="s">
        <v>525</v>
      </c>
      <c r="B18" s="1" t="s">
        <v>221</v>
      </c>
      <c r="C18" s="1" t="s">
        <v>526</v>
      </c>
      <c r="D18" s="1" t="s">
        <v>488</v>
      </c>
      <c r="E18" s="27">
        <v>46246</v>
      </c>
      <c r="F18" s="27">
        <v>46246</v>
      </c>
      <c r="G18" s="4">
        <v>2</v>
      </c>
      <c r="H18" s="4" t="str">
        <f>G18</f>
        <v>0</v>
      </c>
      <c r="I18" s="4">
        <v>4</v>
      </c>
      <c r="J18" s="4" t="s">
        <v>137</v>
      </c>
      <c r="K18" s="1"/>
    </row>
    <row r="19" spans="1:11" customHeight="1" ht="14.25">
      <c r="A19" s="1" t="s">
        <v>527</v>
      </c>
      <c r="B19" s="1" t="s">
        <v>232</v>
      </c>
      <c r="C19" s="1" t="s">
        <v>528</v>
      </c>
      <c r="D19" s="1" t="s">
        <v>488</v>
      </c>
      <c r="E19" s="27">
        <v>46246</v>
      </c>
      <c r="F19" s="27">
        <v>46246</v>
      </c>
      <c r="G19" s="4">
        <v>1</v>
      </c>
      <c r="H19" s="4" t="str">
        <f>G19</f>
        <v>0</v>
      </c>
      <c r="I19" s="4">
        <v>2</v>
      </c>
      <c r="J19" s="4" t="s">
        <v>137</v>
      </c>
      <c r="K19" s="1"/>
    </row>
    <row r="20" spans="1:11" customHeight="1" ht="26.25">
      <c r="A20" s="1" t="s">
        <v>529</v>
      </c>
      <c r="B20" s="1" t="s">
        <v>232</v>
      </c>
      <c r="C20" s="1" t="s">
        <v>530</v>
      </c>
      <c r="D20" s="1" t="s">
        <v>488</v>
      </c>
      <c r="E20" s="27">
        <v>46246</v>
      </c>
      <c r="F20" s="27">
        <v>46246</v>
      </c>
      <c r="G20" s="4">
        <v>2</v>
      </c>
      <c r="H20" s="4" t="str">
        <f>G20</f>
        <v>0</v>
      </c>
      <c r="I20" s="4">
        <v>3</v>
      </c>
      <c r="J20" s="4" t="s">
        <v>137</v>
      </c>
      <c r="K20" s="1"/>
    </row>
    <row r="21" spans="1:11" customHeight="1" ht="14.25">
      <c r="A21" s="5"/>
      <c r="B21" s="5"/>
      <c r="C21" s="5" t="s">
        <v>114</v>
      </c>
      <c r="D21" s="5"/>
      <c r="E21" s="5"/>
      <c r="F21" s="5"/>
      <c r="G21" s="6" t="str">
        <f>SUM(G7:G20)</f>
        <v>0</v>
      </c>
      <c r="H21" s="6" t="str">
        <f>SUM(H7:H20)</f>
        <v>0</v>
      </c>
      <c r="I21" s="6"/>
      <c r="J21" s="5"/>
      <c r="K21" s="5"/>
    </row>
    <row r="23" spans="1:11" customHeight="1" ht="14.25">
      <c r="A23" s="41" t="s">
        <v>493</v>
      </c>
      <c r="B23" s="39"/>
      <c r="C23" s="39"/>
      <c r="D23" s="39"/>
      <c r="E23" s="39"/>
      <c r="F23" s="39"/>
      <c r="G23" s="39"/>
      <c r="H23" s="39"/>
      <c r="I23" s="39"/>
      <c r="J23" s="39"/>
      <c r="K23" s="39"/>
    </row>
    <row r="24" spans="1:11" customHeight="1" ht="14.25">
      <c r="A24" s="39"/>
      <c r="B24" s="39"/>
      <c r="C24" s="39"/>
      <c r="D24" s="39"/>
      <c r="E24" s="39"/>
      <c r="F24" s="39"/>
      <c r="G24" s="39"/>
      <c r="H24" s="39"/>
      <c r="I24" s="39"/>
      <c r="J24" s="39"/>
      <c r="K24" s="39"/>
    </row>
  </sheetData>
  <mergeCells>
    <mergeCell ref="A2:K2"/>
    <mergeCell ref="B4:K4"/>
    <mergeCell ref="A1:K1"/>
    <mergeCell ref="A23:K24"/>
  </mergeCells>
  <dataValidations count="1">
    <dataValidation type="list" allowBlank="1" showDropDown="0" showInputMessage="0" showErrorMessage="0" sqref="J7:J20">
      <formula1>"À faire,En cours,En revue,Terminée,Bloquée"</formula1>
      <formula2>0</formula2>
    </dataValidation>
  </dataValidations>
  <printOptions gridLines="false" gridLinesSet="true"/>
  <pageMargins left="0.75" right="0.75" top="1" bottom="1" header="0.51181102362205" footer="0.51181102362205"/>
  <pageSetup paperSize="9" orientation="portrai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21"/>
  <sheetViews>
    <sheetView tabSelected="0" workbookViewId="0" showGridLines="true" showRowColHeaders="1" topLeftCell="A8">
      <selection activeCell="H18" sqref="H18"/>
    </sheetView>
  </sheetViews>
  <sheetFormatPr defaultRowHeight="14.4" defaultColWidth="8.6640625" outlineLevelRow="0" outlineLevelCol="0"/>
  <cols>
    <col min="1" max="1" width="11" customWidth="true" style="0"/>
    <col min="2" max="2" width="12" customWidth="true" style="0"/>
    <col min="3" max="3" width="62" customWidth="true" style="28"/>
    <col min="4" max="4" width="16" customWidth="true" style="0"/>
    <col min="5" max="5" width="16" customWidth="true" style="0"/>
    <col min="6" max="6" width="16" customWidth="true" style="0"/>
    <col min="7" max="7" width="15" customWidth="true" style="0"/>
    <col min="8" max="8" width="17" customWidth="true" style="0"/>
    <col min="9" max="9" width="17" customWidth="true" style="0"/>
    <col min="10" max="10" width="14" customWidth="true" style="0"/>
    <col min="11" max="11" width="34" customWidth="true" style="0"/>
  </cols>
  <sheetData>
    <row r="1" spans="1:11" customHeight="1" ht="25.5">
      <c r="A1" s="46" t="s">
        <v>531</v>
      </c>
      <c r="B1" s="39"/>
      <c r="C1" s="45"/>
      <c r="D1" s="39"/>
      <c r="E1" s="39"/>
      <c r="F1" s="39"/>
      <c r="G1" s="39"/>
      <c r="H1" s="39"/>
      <c r="I1" s="39"/>
      <c r="J1" s="39"/>
      <c r="K1" s="39"/>
    </row>
    <row r="2" spans="1:11" customHeight="1" ht="14.25">
      <c r="A2" s="41" t="s">
        <v>502</v>
      </c>
      <c r="B2" s="39"/>
      <c r="C2" s="45"/>
      <c r="D2" s="39"/>
      <c r="E2" s="39"/>
      <c r="F2" s="39"/>
      <c r="G2" s="39"/>
      <c r="H2" s="39"/>
      <c r="I2" s="39"/>
      <c r="J2" s="39"/>
      <c r="K2" s="39"/>
    </row>
    <row r="3" spans="1:11" customHeight="1" ht="15.75"/>
    <row r="4" spans="1:11" customHeight="1" ht="31.5">
      <c r="A4" s="21" t="s">
        <v>453</v>
      </c>
      <c r="B4" s="42" t="s">
        <v>462</v>
      </c>
      <c r="C4" s="43"/>
      <c r="D4" s="43"/>
      <c r="E4" s="43"/>
      <c r="F4" s="43"/>
      <c r="G4" s="43"/>
      <c r="H4" s="43"/>
      <c r="I4" s="43"/>
      <c r="J4" s="43"/>
      <c r="K4" s="44"/>
    </row>
    <row r="6" spans="1:11" customHeight="1" ht="30">
      <c r="A6" s="2" t="s">
        <v>476</v>
      </c>
      <c r="B6" s="2" t="s">
        <v>477</v>
      </c>
      <c r="C6" s="29" t="s">
        <v>478</v>
      </c>
      <c r="D6" s="2" t="s">
        <v>479</v>
      </c>
      <c r="E6" s="22" t="s">
        <v>480</v>
      </c>
      <c r="F6" s="22" t="s">
        <v>481</v>
      </c>
      <c r="G6" s="2" t="s">
        <v>482</v>
      </c>
      <c r="H6" s="2" t="s">
        <v>483</v>
      </c>
      <c r="I6" s="22" t="s">
        <v>484</v>
      </c>
      <c r="J6" s="2" t="s">
        <v>127</v>
      </c>
      <c r="K6" s="2" t="s">
        <v>485</v>
      </c>
    </row>
    <row r="7" spans="1:11" customHeight="1" ht="30.75">
      <c r="A7" s="1" t="s">
        <v>505</v>
      </c>
      <c r="B7" s="1" t="s">
        <v>128</v>
      </c>
      <c r="C7" s="30" t="s">
        <v>532</v>
      </c>
      <c r="D7" s="25" t="s">
        <v>496</v>
      </c>
      <c r="E7" s="24">
        <v>46245</v>
      </c>
      <c r="F7" s="24">
        <v>46245</v>
      </c>
      <c r="G7" s="4">
        <v>2</v>
      </c>
      <c r="H7" s="4" t="str">
        <f>G7</f>
        <v>0</v>
      </c>
      <c r="I7" s="4">
        <v>4</v>
      </c>
      <c r="J7" s="4" t="s">
        <v>137</v>
      </c>
      <c r="K7" s="1"/>
    </row>
    <row r="8" spans="1:11" customHeight="1" ht="30.75">
      <c r="A8" s="1" t="s">
        <v>507</v>
      </c>
      <c r="B8" s="1" t="s">
        <v>128</v>
      </c>
      <c r="C8" s="30" t="s">
        <v>533</v>
      </c>
      <c r="D8" s="25" t="s">
        <v>496</v>
      </c>
      <c r="E8" s="24">
        <v>46245</v>
      </c>
      <c r="F8" s="24">
        <v>46245</v>
      </c>
      <c r="G8" s="4">
        <v>1</v>
      </c>
      <c r="H8" s="4" t="str">
        <f>G8</f>
        <v>0</v>
      </c>
      <c r="I8" s="4">
        <v>2</v>
      </c>
      <c r="J8" s="4" t="s">
        <v>137</v>
      </c>
      <c r="K8" s="1"/>
    </row>
    <row r="9" spans="1:11" customHeight="1" ht="30.75">
      <c r="A9" s="1" t="s">
        <v>509</v>
      </c>
      <c r="B9" s="1" t="s">
        <v>128</v>
      </c>
      <c r="C9" s="30" t="s">
        <v>534</v>
      </c>
      <c r="D9" s="25" t="s">
        <v>496</v>
      </c>
      <c r="E9" s="24">
        <v>46245</v>
      </c>
      <c r="F9" s="24">
        <v>46245</v>
      </c>
      <c r="G9" s="4">
        <v>2</v>
      </c>
      <c r="H9" s="4" t="str">
        <f>G9</f>
        <v>0</v>
      </c>
      <c r="I9" s="4">
        <v>3</v>
      </c>
      <c r="J9" s="4" t="s">
        <v>137</v>
      </c>
      <c r="K9" s="1"/>
    </row>
    <row r="10" spans="1:11" customHeight="1" ht="30.75">
      <c r="A10" s="1" t="s">
        <v>511</v>
      </c>
      <c r="B10" s="1" t="s">
        <v>138</v>
      </c>
      <c r="C10" s="30" t="s">
        <v>535</v>
      </c>
      <c r="D10" s="25" t="s">
        <v>496</v>
      </c>
      <c r="E10" s="24">
        <v>46245</v>
      </c>
      <c r="F10" s="24">
        <v>46245</v>
      </c>
      <c r="G10" s="4">
        <v>2</v>
      </c>
      <c r="H10" s="4" t="str">
        <f>G10</f>
        <v>0</v>
      </c>
      <c r="I10" s="4">
        <v>2</v>
      </c>
      <c r="J10" s="4" t="s">
        <v>137</v>
      </c>
      <c r="K10" s="1"/>
    </row>
    <row r="11" spans="1:11" customHeight="1" ht="30.75">
      <c r="A11" s="1" t="s">
        <v>513</v>
      </c>
      <c r="B11" s="1" t="s">
        <v>138</v>
      </c>
      <c r="C11" s="30" t="s">
        <v>536</v>
      </c>
      <c r="D11" s="25" t="s">
        <v>496</v>
      </c>
      <c r="E11" s="24">
        <v>46245</v>
      </c>
      <c r="F11" s="24">
        <v>46245</v>
      </c>
      <c r="G11" s="4">
        <v>3</v>
      </c>
      <c r="H11" s="4" t="str">
        <f>G11</f>
        <v>0</v>
      </c>
      <c r="I11" s="4">
        <v>3</v>
      </c>
      <c r="J11" s="4" t="s">
        <v>137</v>
      </c>
      <c r="K11" s="1"/>
    </row>
    <row r="12" spans="1:11" customHeight="1" ht="30.75">
      <c r="A12" s="1" t="s">
        <v>515</v>
      </c>
      <c r="B12" s="1" t="s">
        <v>138</v>
      </c>
      <c r="C12" s="30" t="s">
        <v>537</v>
      </c>
      <c r="D12" s="25" t="s">
        <v>496</v>
      </c>
      <c r="E12" s="24">
        <v>46245</v>
      </c>
      <c r="F12" s="24">
        <v>46245</v>
      </c>
      <c r="G12" s="4">
        <v>1</v>
      </c>
      <c r="H12" s="4" t="str">
        <f>G12</f>
        <v>0</v>
      </c>
      <c r="I12" s="4">
        <v>2</v>
      </c>
      <c r="J12" s="4" t="s">
        <v>137</v>
      </c>
      <c r="K12" s="1"/>
    </row>
    <row r="13" spans="1:11" customHeight="1" ht="30.75">
      <c r="A13" s="1" t="s">
        <v>517</v>
      </c>
      <c r="B13" s="1" t="s">
        <v>138</v>
      </c>
      <c r="C13" s="30" t="s">
        <v>538</v>
      </c>
      <c r="D13" s="25" t="s">
        <v>496</v>
      </c>
      <c r="E13" s="24">
        <v>46245</v>
      </c>
      <c r="F13" s="24">
        <v>46245</v>
      </c>
      <c r="G13" s="4">
        <v>2</v>
      </c>
      <c r="H13" s="4" t="str">
        <f>G13</f>
        <v>0</v>
      </c>
      <c r="I13" s="4">
        <v>4</v>
      </c>
      <c r="J13" s="4" t="s">
        <v>137</v>
      </c>
      <c r="K13" s="1"/>
    </row>
    <row r="14" spans="1:11" customHeight="1" ht="30.75">
      <c r="A14" s="1" t="s">
        <v>519</v>
      </c>
      <c r="B14" s="1" t="s">
        <v>160</v>
      </c>
      <c r="C14" s="30" t="s">
        <v>539</v>
      </c>
      <c r="D14" s="25" t="s">
        <v>496</v>
      </c>
      <c r="E14" s="27">
        <v>46246</v>
      </c>
      <c r="F14" s="27">
        <v>46246</v>
      </c>
      <c r="G14" s="4">
        <v>1</v>
      </c>
      <c r="H14" s="4" t="str">
        <f>G14</f>
        <v>0</v>
      </c>
      <c r="I14" s="4">
        <v>1</v>
      </c>
      <c r="J14" s="4" t="s">
        <v>137</v>
      </c>
      <c r="K14" s="1"/>
    </row>
    <row r="15" spans="1:11" customHeight="1" ht="30.75">
      <c r="A15" s="1" t="s">
        <v>521</v>
      </c>
      <c r="B15" s="1" t="s">
        <v>160</v>
      </c>
      <c r="C15" s="30" t="s">
        <v>540</v>
      </c>
      <c r="D15" s="25" t="s">
        <v>496</v>
      </c>
      <c r="E15" s="27">
        <v>46246</v>
      </c>
      <c r="F15" s="27">
        <v>46246</v>
      </c>
      <c r="G15" s="4">
        <v>2</v>
      </c>
      <c r="H15" s="4" t="str">
        <f>G15</f>
        <v>0</v>
      </c>
      <c r="I15" s="4">
        <v>3</v>
      </c>
      <c r="J15" s="4" t="s">
        <v>137</v>
      </c>
      <c r="K15" s="1"/>
    </row>
    <row r="16" spans="1:11" customHeight="1" ht="30.75">
      <c r="A16" s="1" t="s">
        <v>525</v>
      </c>
      <c r="B16" s="1" t="s">
        <v>221</v>
      </c>
      <c r="C16" s="30" t="s">
        <v>541</v>
      </c>
      <c r="D16" s="25" t="s">
        <v>496</v>
      </c>
      <c r="E16" s="27">
        <v>46246</v>
      </c>
      <c r="F16" s="27">
        <v>46246</v>
      </c>
      <c r="G16" s="4">
        <v>2</v>
      </c>
      <c r="H16" s="4" t="str">
        <f>G16</f>
        <v>0</v>
      </c>
      <c r="I16" s="4">
        <v>4</v>
      </c>
      <c r="J16" s="4" t="s">
        <v>137</v>
      </c>
      <c r="K16" s="1"/>
    </row>
    <row r="17" spans="1:11" customHeight="1" ht="15">
      <c r="A17" s="1" t="s">
        <v>529</v>
      </c>
      <c r="B17" s="1" t="s">
        <v>232</v>
      </c>
      <c r="C17" s="30" t="s">
        <v>542</v>
      </c>
      <c r="D17" s="25" t="s">
        <v>496</v>
      </c>
      <c r="E17" s="27">
        <v>46246</v>
      </c>
      <c r="F17" s="27">
        <v>46246</v>
      </c>
      <c r="G17" s="4">
        <v>2</v>
      </c>
      <c r="H17" s="4" t="str">
        <f>G17</f>
        <v>0</v>
      </c>
      <c r="I17" s="4">
        <v>3</v>
      </c>
      <c r="J17" s="4" t="s">
        <v>137</v>
      </c>
      <c r="K17" s="1"/>
    </row>
    <row r="18" spans="1:11" customHeight="1" ht="15">
      <c r="A18" s="5"/>
      <c r="B18" s="5"/>
      <c r="C18" s="31" t="s">
        <v>114</v>
      </c>
      <c r="D18" s="5"/>
      <c r="E18" s="5"/>
      <c r="F18" s="5"/>
      <c r="G18" s="6" t="str">
        <f>SUM(G7:G17)</f>
        <v>0</v>
      </c>
      <c r="H18" s="6" t="str">
        <f>SUM(H7:H17)</f>
        <v>0</v>
      </c>
      <c r="I18" s="6"/>
      <c r="J18" s="5"/>
      <c r="K18" s="5"/>
    </row>
    <row r="20" spans="1:11" customHeight="1" ht="14.25">
      <c r="A20" s="41" t="s">
        <v>493</v>
      </c>
      <c r="B20" s="39"/>
      <c r="C20" s="45"/>
      <c r="D20" s="39"/>
      <c r="E20" s="39"/>
      <c r="F20" s="39"/>
      <c r="G20" s="39"/>
      <c r="H20" s="39"/>
      <c r="I20" s="39"/>
      <c r="J20" s="39"/>
      <c r="K20" s="39"/>
    </row>
    <row r="21" spans="1:11" customHeight="1" ht="14.25">
      <c r="A21" s="39"/>
      <c r="B21" s="39"/>
      <c r="C21" s="45"/>
      <c r="D21" s="39"/>
      <c r="E21" s="39"/>
      <c r="F21" s="39"/>
      <c r="G21" s="39"/>
      <c r="H21" s="39"/>
      <c r="I21" s="39"/>
      <c r="J21" s="39"/>
      <c r="K21" s="39"/>
    </row>
  </sheetData>
  <mergeCells>
    <mergeCell ref="A2:K2"/>
    <mergeCell ref="B4:K4"/>
    <mergeCell ref="A1:K1"/>
    <mergeCell ref="A20:K21"/>
  </mergeCells>
  <dataValidations count="1">
    <dataValidation type="list" allowBlank="1" showDropDown="0" showInputMessage="0" showErrorMessage="0" sqref="J7:J17">
      <formula1>"À faire,En cours,En revue,Terminée,Bloquée"</formula1>
      <formula2>0</formula2>
    </dataValidation>
  </dataValidations>
  <printOptions gridLines="false" gridLinesSet="true"/>
  <pageMargins left="0.7" right="0.7" top="0.75" bottom="0.75" header="0.51181102362205" footer="0.51181102362205"/>
  <pageSetup paperSize="9" orientation="portrai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17375E"/>
    <outlinePr summaryBelow="1" summaryRight="1"/>
  </sheetPr>
  <dimension ref="A1:K17"/>
  <sheetViews>
    <sheetView tabSelected="0" workbookViewId="0" zoomScale="130" zoomScaleNormal="130" showGridLines="false" showRowColHeaders="1">
      <pane ySplit="3" topLeftCell="A4" activePane="bottomLeft" state="frozen"/>
      <selection pane="bottomLeft" activeCell="H14" sqref="H14"/>
    </sheetView>
  </sheetViews>
  <sheetFormatPr defaultRowHeight="14.4" defaultColWidth="8.6640625" outlineLevelRow="0" outlineLevelCol="0"/>
  <cols>
    <col min="1" max="1" width="11" customWidth="true" style="0"/>
    <col min="2" max="2" width="12" customWidth="true" style="0"/>
    <col min="3" max="3" width="62" customWidth="true" style="0"/>
    <col min="4" max="4" width="16" customWidth="true" style="0"/>
    <col min="5" max="5" width="16" customWidth="true" style="0"/>
    <col min="6" max="6" width="16" customWidth="true" style="0"/>
    <col min="7" max="7" width="15" customWidth="true" style="0"/>
    <col min="8" max="8" width="17" customWidth="true" style="0"/>
    <col min="9" max="9" width="17" customWidth="true" style="0"/>
    <col min="10" max="10" width="14" customWidth="true" style="0"/>
    <col min="11" max="11" width="34" customWidth="true" style="0"/>
  </cols>
  <sheetData>
    <row r="1" spans="1:11" customHeight="1" ht="25.5">
      <c r="A1" s="38" t="s">
        <v>543</v>
      </c>
      <c r="B1" s="39"/>
      <c r="C1" s="39"/>
      <c r="D1" s="39"/>
      <c r="E1" s="39"/>
      <c r="F1" s="39"/>
      <c r="G1" s="39"/>
      <c r="H1" s="39"/>
      <c r="I1" s="39"/>
      <c r="J1" s="39"/>
      <c r="K1" s="39"/>
    </row>
    <row r="2" spans="1:11" customHeight="1" ht="14.25">
      <c r="A2" s="41" t="s">
        <v>544</v>
      </c>
      <c r="B2" s="39"/>
      <c r="C2" s="39"/>
      <c r="D2" s="39"/>
      <c r="E2" s="39"/>
      <c r="F2" s="39"/>
      <c r="G2" s="39"/>
      <c r="H2" s="39"/>
      <c r="I2" s="39"/>
      <c r="J2" s="39"/>
      <c r="K2" s="39"/>
    </row>
    <row r="3" spans="1:11" customHeight="1" ht="15"/>
    <row r="4" spans="1:11" customHeight="1" ht="31.5">
      <c r="A4" s="21" t="s">
        <v>453</v>
      </c>
      <c r="B4" s="42" t="s">
        <v>465</v>
      </c>
      <c r="C4" s="43"/>
      <c r="D4" s="43"/>
      <c r="E4" s="43"/>
      <c r="F4" s="43"/>
      <c r="G4" s="43"/>
      <c r="H4" s="43"/>
      <c r="I4" s="43"/>
      <c r="J4" s="43"/>
      <c r="K4" s="44"/>
    </row>
    <row r="6" spans="1:11" customHeight="1" ht="30">
      <c r="A6" s="2" t="s">
        <v>476</v>
      </c>
      <c r="B6" s="2" t="s">
        <v>477</v>
      </c>
      <c r="C6" s="2" t="s">
        <v>478</v>
      </c>
      <c r="D6" s="2" t="s">
        <v>479</v>
      </c>
      <c r="E6" s="22" t="s">
        <v>480</v>
      </c>
      <c r="F6" s="22" t="s">
        <v>481</v>
      </c>
      <c r="G6" s="2" t="s">
        <v>482</v>
      </c>
      <c r="H6" s="2" t="s">
        <v>483</v>
      </c>
      <c r="I6" s="22" t="s">
        <v>484</v>
      </c>
      <c r="J6" s="2" t="s">
        <v>127</v>
      </c>
      <c r="K6" s="2" t="s">
        <v>485</v>
      </c>
    </row>
    <row r="7" spans="1:11" customHeight="1" ht="14.25">
      <c r="A7" s="1" t="s">
        <v>545</v>
      </c>
      <c r="B7" s="8" t="s">
        <v>241</v>
      </c>
      <c r="C7" s="32" t="s">
        <v>546</v>
      </c>
      <c r="D7" s="1" t="s">
        <v>488</v>
      </c>
      <c r="E7" s="1"/>
      <c r="F7" s="1"/>
      <c r="G7" s="4">
        <v>0</v>
      </c>
      <c r="H7" s="4" t="str">
        <f>G7</f>
        <v>0</v>
      </c>
      <c r="I7" s="4"/>
      <c r="J7" s="4" t="s">
        <v>137</v>
      </c>
      <c r="K7" s="1"/>
    </row>
    <row r="8" spans="1:11" customHeight="1" ht="14.25">
      <c r="A8" s="1" t="s">
        <v>547</v>
      </c>
      <c r="B8" s="1" t="s">
        <v>241</v>
      </c>
      <c r="C8" s="1" t="s">
        <v>548</v>
      </c>
      <c r="D8" s="1" t="s">
        <v>488</v>
      </c>
      <c r="E8" s="1"/>
      <c r="F8" s="1"/>
      <c r="G8" s="4">
        <v>0</v>
      </c>
      <c r="H8" s="4" t="str">
        <f>G8</f>
        <v>0</v>
      </c>
      <c r="I8" s="4"/>
      <c r="J8" s="4" t="s">
        <v>137</v>
      </c>
      <c r="K8" s="1"/>
    </row>
    <row r="9" spans="1:11" customHeight="1" ht="26.25">
      <c r="A9" s="1" t="s">
        <v>549</v>
      </c>
      <c r="B9" s="1" t="s">
        <v>255</v>
      </c>
      <c r="C9" s="1" t="s">
        <v>550</v>
      </c>
      <c r="D9" s="1" t="s">
        <v>488</v>
      </c>
      <c r="E9" s="1"/>
      <c r="F9" s="1"/>
      <c r="G9" s="4">
        <v>0</v>
      </c>
      <c r="H9" s="4" t="str">
        <f>G9</f>
        <v>0</v>
      </c>
      <c r="I9" s="4"/>
      <c r="J9" s="4" t="s">
        <v>137</v>
      </c>
      <c r="K9" s="1"/>
    </row>
    <row r="10" spans="1:11" customHeight="1" ht="14.25">
      <c r="A10" s="1" t="s">
        <v>551</v>
      </c>
      <c r="B10" s="1" t="s">
        <v>255</v>
      </c>
      <c r="C10" s="1" t="s">
        <v>552</v>
      </c>
      <c r="D10" s="1" t="s">
        <v>488</v>
      </c>
      <c r="E10" s="1"/>
      <c r="F10" s="1"/>
      <c r="G10" s="4">
        <v>0</v>
      </c>
      <c r="H10" s="4" t="str">
        <f>G10</f>
        <v>0</v>
      </c>
      <c r="I10" s="4"/>
      <c r="J10" s="4" t="s">
        <v>137</v>
      </c>
      <c r="K10" s="1"/>
    </row>
    <row r="11" spans="1:11" customHeight="1" ht="14.25">
      <c r="A11" s="1" t="s">
        <v>553</v>
      </c>
      <c r="B11" s="1" t="s">
        <v>269</v>
      </c>
      <c r="C11" s="1" t="s">
        <v>554</v>
      </c>
      <c r="D11" s="1" t="s">
        <v>488</v>
      </c>
      <c r="E11" s="1"/>
      <c r="F11" s="1"/>
      <c r="G11" s="4">
        <v>0</v>
      </c>
      <c r="H11" s="4" t="str">
        <f>G11</f>
        <v>0</v>
      </c>
      <c r="I11" s="4"/>
      <c r="J11" s="4" t="s">
        <v>137</v>
      </c>
      <c r="K11" s="1"/>
    </row>
    <row r="12" spans="1:11" customHeight="1" ht="26.25">
      <c r="A12" s="1" t="s">
        <v>555</v>
      </c>
      <c r="B12" s="1" t="s">
        <v>269</v>
      </c>
      <c r="C12" s="1" t="s">
        <v>556</v>
      </c>
      <c r="D12" s="1" t="s">
        <v>488</v>
      </c>
      <c r="E12" s="1"/>
      <c r="F12" s="1"/>
      <c r="G12" s="4">
        <v>0</v>
      </c>
      <c r="H12" s="4" t="str">
        <f>G12</f>
        <v>0</v>
      </c>
      <c r="I12" s="4"/>
      <c r="J12" s="4" t="s">
        <v>137</v>
      </c>
      <c r="K12" s="1"/>
    </row>
    <row r="13" spans="1:11" customHeight="1" ht="14.25">
      <c r="A13" s="1" t="s">
        <v>557</v>
      </c>
      <c r="B13" s="1" t="s">
        <v>269</v>
      </c>
      <c r="C13" s="1" t="s">
        <v>558</v>
      </c>
      <c r="D13" s="1" t="s">
        <v>488</v>
      </c>
      <c r="E13" s="1"/>
      <c r="F13" s="1"/>
      <c r="G13" s="4">
        <v>0</v>
      </c>
      <c r="H13" s="4" t="str">
        <f>G13</f>
        <v>0</v>
      </c>
      <c r="I13" s="4"/>
      <c r="J13" s="4" t="s">
        <v>137</v>
      </c>
      <c r="K13" s="1"/>
    </row>
    <row r="14" spans="1:11" customHeight="1" ht="14.25">
      <c r="A14" s="5"/>
      <c r="B14" s="5"/>
      <c r="C14" s="5" t="s">
        <v>114</v>
      </c>
      <c r="D14" s="5"/>
      <c r="E14" s="5"/>
      <c r="F14" s="5"/>
      <c r="G14" s="6" t="str">
        <f>SUM(G7:G13)</f>
        <v>0</v>
      </c>
      <c r="H14" s="6" t="str">
        <f>SUM(H7:H13)</f>
        <v>0</v>
      </c>
      <c r="I14" s="6"/>
      <c r="J14" s="5"/>
      <c r="K14" s="5"/>
    </row>
    <row r="16" spans="1:11" customHeight="1" ht="14.25">
      <c r="A16" s="41" t="s">
        <v>493</v>
      </c>
      <c r="B16" s="39"/>
      <c r="C16" s="39"/>
      <c r="D16" s="39"/>
      <c r="E16" s="39"/>
      <c r="F16" s="39"/>
      <c r="G16" s="39"/>
      <c r="H16" s="39"/>
      <c r="I16" s="39"/>
      <c r="J16" s="39"/>
      <c r="K16" s="39"/>
    </row>
    <row r="17" spans="1:11" customHeight="1" ht="14.25">
      <c r="A17" s="39"/>
      <c r="B17" s="39"/>
      <c r="C17" s="39"/>
      <c r="D17" s="39"/>
      <c r="E17" s="39"/>
      <c r="F17" s="39"/>
      <c r="G17" s="39"/>
      <c r="H17" s="39"/>
      <c r="I17" s="39"/>
      <c r="J17" s="39"/>
      <c r="K17" s="39"/>
    </row>
  </sheetData>
  <mergeCells>
    <mergeCell ref="A2:K2"/>
    <mergeCell ref="B4:K4"/>
    <mergeCell ref="A16:K17"/>
    <mergeCell ref="A1:K1"/>
  </mergeCells>
  <dataValidations count="1">
    <dataValidation type="list" allowBlank="1" showDropDown="0" showInputMessage="0" showErrorMessage="0" sqref="J7:J13">
      <formula1>"À faire,En cours,En revue,Terminée,Bloquée"</formula1>
      <formula2>0</formula2>
    </dataValidation>
  </dataValidations>
  <printOptions gridLines="false" gridLinesSet="true"/>
  <pageMargins left="0.75" right="0.75" top="1" bottom="1" header="0.51181102362205" footer="0.51181102362205"/>
  <pageSetup paperSize="9" orientation="portrai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33"/>
  <sheetViews>
    <sheetView tabSelected="0" workbookViewId="0" showGridLines="true" showRowColHeaders="1">
      <selection activeCell="H33" sqref="H33"/>
    </sheetView>
  </sheetViews>
  <sheetFormatPr defaultRowHeight="14.4" defaultColWidth="8.6640625" outlineLevelRow="0" outlineLevelCol="0"/>
  <cols>
    <col min="1" max="1" width="11" customWidth="true" style="0"/>
    <col min="2" max="2" width="12" customWidth="true" style="0"/>
    <col min="3" max="3" width="62" customWidth="true" style="28"/>
    <col min="4" max="4" width="16" customWidth="true" style="0"/>
    <col min="5" max="5" width="16" customWidth="true" style="0"/>
    <col min="6" max="6" width="16" customWidth="true" style="0"/>
    <col min="7" max="7" width="15" customWidth="true" style="0"/>
    <col min="8" max="8" width="17" customWidth="true" style="0"/>
    <col min="9" max="9" width="14" customWidth="true" style="0"/>
    <col min="10" max="10" width="34" customWidth="true" style="0"/>
  </cols>
  <sheetData>
    <row r="1" spans="1:10" customHeight="1" ht="25.5">
      <c r="A1" s="46" t="s">
        <v>559</v>
      </c>
      <c r="B1" s="39"/>
      <c r="C1" s="45"/>
      <c r="D1" s="39"/>
      <c r="E1" s="39"/>
      <c r="F1" s="39"/>
      <c r="G1" s="39"/>
      <c r="H1" s="39"/>
      <c r="I1" s="39"/>
      <c r="J1" s="39"/>
    </row>
    <row r="2" spans="1:10" customHeight="1" ht="14.25">
      <c r="A2" s="41" t="s">
        <v>544</v>
      </c>
      <c r="B2" s="39"/>
      <c r="C2" s="45"/>
      <c r="D2" s="39"/>
      <c r="E2" s="39"/>
      <c r="F2" s="39"/>
      <c r="G2" s="39"/>
      <c r="H2" s="39"/>
      <c r="I2" s="39"/>
      <c r="J2" s="39"/>
    </row>
    <row r="3" spans="1:10" customHeight="1" ht="15.75"/>
    <row r="4" spans="1:10" customHeight="1" ht="31.5">
      <c r="A4" s="21" t="s">
        <v>453</v>
      </c>
      <c r="B4" s="42" t="s">
        <v>465</v>
      </c>
      <c r="C4" s="43"/>
      <c r="D4" s="43"/>
      <c r="E4" s="43"/>
      <c r="F4" s="43"/>
      <c r="G4" s="43"/>
      <c r="H4" s="43"/>
      <c r="I4" s="43"/>
      <c r="J4" s="44"/>
    </row>
    <row r="6" spans="1:10" customHeight="1" ht="30">
      <c r="A6" s="2" t="s">
        <v>476</v>
      </c>
      <c r="B6" s="2" t="s">
        <v>477</v>
      </c>
      <c r="C6" s="29" t="s">
        <v>478</v>
      </c>
      <c r="D6" s="2" t="s">
        <v>479</v>
      </c>
      <c r="E6" s="22" t="s">
        <v>480</v>
      </c>
      <c r="F6" s="22" t="s">
        <v>481</v>
      </c>
      <c r="G6" s="2" t="s">
        <v>482</v>
      </c>
      <c r="H6" s="2" t="s">
        <v>483</v>
      </c>
      <c r="I6" s="2" t="s">
        <v>127</v>
      </c>
      <c r="J6" s="2" t="s">
        <v>485</v>
      </c>
    </row>
    <row r="7" spans="1:10" customHeight="1" ht="15">
      <c r="A7" s="25" t="s">
        <v>560</v>
      </c>
      <c r="B7" s="1" t="s">
        <v>255</v>
      </c>
      <c r="C7" s="33" t="s">
        <v>561</v>
      </c>
      <c r="D7" s="25" t="s">
        <v>496</v>
      </c>
      <c r="E7" s="24" t="s">
        <v>562</v>
      </c>
      <c r="F7" s="24">
        <v>46250</v>
      </c>
      <c r="G7" s="4">
        <v>1</v>
      </c>
      <c r="H7" s="4" t="str">
        <f>G7</f>
        <v>0</v>
      </c>
      <c r="I7" s="4" t="s">
        <v>137</v>
      </c>
      <c r="J7" s="25"/>
    </row>
    <row r="8" spans="1:10" customHeight="1" ht="15">
      <c r="A8" s="25" t="s">
        <v>563</v>
      </c>
      <c r="B8" s="1" t="s">
        <v>255</v>
      </c>
      <c r="C8" s="33" t="s">
        <v>564</v>
      </c>
      <c r="D8" s="25" t="s">
        <v>496</v>
      </c>
      <c r="E8" s="24">
        <v>46250</v>
      </c>
      <c r="F8" s="24">
        <v>46250</v>
      </c>
      <c r="G8" s="4">
        <v>1</v>
      </c>
      <c r="H8" s="4" t="str">
        <f>G8</f>
        <v>0</v>
      </c>
      <c r="I8" s="4" t="s">
        <v>137</v>
      </c>
      <c r="J8" s="25"/>
    </row>
    <row r="9" spans="1:10" customHeight="1" ht="15">
      <c r="A9" s="25" t="s">
        <v>565</v>
      </c>
      <c r="B9" s="1" t="s">
        <v>241</v>
      </c>
      <c r="C9" s="33" t="s">
        <v>566</v>
      </c>
      <c r="D9" s="25" t="s">
        <v>496</v>
      </c>
      <c r="E9" s="24">
        <v>46250</v>
      </c>
      <c r="F9" s="24">
        <v>46250</v>
      </c>
      <c r="G9" s="4">
        <v>1</v>
      </c>
      <c r="H9" s="4" t="str">
        <f>G9</f>
        <v>0</v>
      </c>
      <c r="I9" s="4" t="s">
        <v>137</v>
      </c>
      <c r="J9" s="25"/>
    </row>
    <row r="10" spans="1:10" customHeight="1" ht="15">
      <c r="A10" s="25" t="s">
        <v>567</v>
      </c>
      <c r="B10" s="1" t="s">
        <v>269</v>
      </c>
      <c r="C10" s="33" t="s">
        <v>568</v>
      </c>
      <c r="D10" s="25" t="s">
        <v>496</v>
      </c>
      <c r="E10" s="24">
        <v>46250</v>
      </c>
      <c r="F10" s="24">
        <v>46250</v>
      </c>
      <c r="G10" s="4">
        <v>1</v>
      </c>
      <c r="H10" s="4" t="str">
        <f>G10</f>
        <v>0</v>
      </c>
      <c r="I10" s="4" t="s">
        <v>137</v>
      </c>
      <c r="J10" s="25"/>
    </row>
    <row r="11" spans="1:10" customHeight="1" ht="15">
      <c r="A11" s="25" t="s">
        <v>569</v>
      </c>
      <c r="B11" s="1" t="s">
        <v>269</v>
      </c>
      <c r="C11" s="33" t="s">
        <v>570</v>
      </c>
      <c r="D11" s="25" t="s">
        <v>496</v>
      </c>
      <c r="E11" s="24">
        <v>46250</v>
      </c>
      <c r="F11" s="24">
        <v>46250</v>
      </c>
      <c r="G11" s="4">
        <v>1</v>
      </c>
      <c r="H11" s="4" t="str">
        <f>G11</f>
        <v>0</v>
      </c>
      <c r="I11" s="4" t="s">
        <v>137</v>
      </c>
      <c r="J11" s="25"/>
    </row>
    <row r="12" spans="1:10" customHeight="1" ht="15">
      <c r="A12" s="25" t="s">
        <v>571</v>
      </c>
      <c r="B12" s="1" t="s">
        <v>255</v>
      </c>
      <c r="C12" s="33" t="s">
        <v>572</v>
      </c>
      <c r="D12" s="25" t="s">
        <v>496</v>
      </c>
      <c r="E12" s="24">
        <v>46250</v>
      </c>
      <c r="F12" s="24">
        <v>46250</v>
      </c>
      <c r="G12" s="4">
        <v>1</v>
      </c>
      <c r="H12" s="4" t="str">
        <f>G12</f>
        <v>0</v>
      </c>
      <c r="I12" s="4" t="s">
        <v>137</v>
      </c>
      <c r="J12" s="25"/>
    </row>
    <row r="13" spans="1:10" customHeight="1" ht="15">
      <c r="A13" s="25" t="s">
        <v>573</v>
      </c>
      <c r="B13" s="1" t="s">
        <v>269</v>
      </c>
      <c r="C13" s="33" t="s">
        <v>574</v>
      </c>
      <c r="D13" s="25" t="s">
        <v>496</v>
      </c>
      <c r="E13" s="24">
        <v>46250</v>
      </c>
      <c r="F13" s="24">
        <v>46250</v>
      </c>
      <c r="G13" s="4">
        <v>1</v>
      </c>
      <c r="H13" s="4" t="str">
        <f>G13</f>
        <v>0</v>
      </c>
      <c r="I13" s="4" t="s">
        <v>137</v>
      </c>
      <c r="J13" s="25"/>
    </row>
    <row r="14" spans="1:10" customHeight="1" ht="15">
      <c r="A14" s="25" t="s">
        <v>575</v>
      </c>
      <c r="B14" s="1" t="s">
        <v>269</v>
      </c>
      <c r="C14" s="33" t="s">
        <v>576</v>
      </c>
      <c r="D14" s="25" t="s">
        <v>496</v>
      </c>
      <c r="E14" s="24">
        <v>46250</v>
      </c>
      <c r="F14" s="24">
        <v>46250</v>
      </c>
      <c r="G14" s="4">
        <v>1</v>
      </c>
      <c r="H14" s="4" t="str">
        <f>G14</f>
        <v>0</v>
      </c>
      <c r="I14" s="4" t="s">
        <v>137</v>
      </c>
      <c r="J14" s="25"/>
    </row>
    <row r="15" spans="1:10" customHeight="1" ht="15">
      <c r="A15" s="25" t="s">
        <v>577</v>
      </c>
      <c r="B15" s="1" t="s">
        <v>269</v>
      </c>
      <c r="C15" s="33" t="s">
        <v>578</v>
      </c>
      <c r="D15" s="25" t="s">
        <v>496</v>
      </c>
      <c r="E15" s="24">
        <v>46250</v>
      </c>
      <c r="F15" s="24">
        <v>46250</v>
      </c>
      <c r="G15" s="4">
        <v>1</v>
      </c>
      <c r="H15" s="4" t="str">
        <f>G15</f>
        <v>0</v>
      </c>
      <c r="I15" s="4" t="s">
        <v>137</v>
      </c>
      <c r="J15" s="25"/>
    </row>
    <row r="16" spans="1:10" customHeight="1" ht="15">
      <c r="A16" s="25" t="s">
        <v>579</v>
      </c>
      <c r="B16" s="1" t="s">
        <v>241</v>
      </c>
      <c r="C16" s="33" t="s">
        <v>580</v>
      </c>
      <c r="D16" s="25" t="s">
        <v>496</v>
      </c>
      <c r="E16" s="24">
        <v>46251</v>
      </c>
      <c r="F16" s="24">
        <v>46251</v>
      </c>
      <c r="G16" s="4">
        <v>1</v>
      </c>
      <c r="H16" s="4" t="str">
        <f>G16</f>
        <v>0</v>
      </c>
      <c r="I16" s="4" t="s">
        <v>137</v>
      </c>
      <c r="J16" s="25"/>
    </row>
    <row r="17" spans="1:10" customHeight="1" ht="15">
      <c r="A17" s="25" t="s">
        <v>581</v>
      </c>
      <c r="B17" s="1" t="s">
        <v>255</v>
      </c>
      <c r="C17" s="33" t="s">
        <v>582</v>
      </c>
      <c r="D17" s="25" t="s">
        <v>496</v>
      </c>
      <c r="E17" s="24">
        <v>46251</v>
      </c>
      <c r="F17" s="24">
        <v>46251</v>
      </c>
      <c r="G17" s="4">
        <v>1</v>
      </c>
      <c r="H17" s="4" t="str">
        <f>G17</f>
        <v>0</v>
      </c>
      <c r="I17" s="4" t="s">
        <v>137</v>
      </c>
      <c r="J17" s="25"/>
    </row>
    <row r="18" spans="1:10" customHeight="1" ht="15">
      <c r="A18" s="25" t="s">
        <v>583</v>
      </c>
      <c r="B18" s="1" t="s">
        <v>269</v>
      </c>
      <c r="C18" s="33" t="s">
        <v>584</v>
      </c>
      <c r="D18" s="25" t="s">
        <v>496</v>
      </c>
      <c r="E18" s="24">
        <v>46251</v>
      </c>
      <c r="F18" s="24">
        <v>46251</v>
      </c>
      <c r="G18" s="4">
        <v>1</v>
      </c>
      <c r="H18" s="4" t="str">
        <f>G18</f>
        <v>0</v>
      </c>
      <c r="I18" s="34" t="s">
        <v>137</v>
      </c>
      <c r="J18" s="25"/>
    </row>
    <row r="19" spans="1:10" customHeight="1" ht="15">
      <c r="A19" s="25" t="s">
        <v>585</v>
      </c>
      <c r="B19" s="1" t="s">
        <v>269</v>
      </c>
      <c r="C19" s="33" t="s">
        <v>586</v>
      </c>
      <c r="D19" s="25" t="s">
        <v>496</v>
      </c>
      <c r="E19" s="24">
        <v>46251</v>
      </c>
      <c r="F19" s="24">
        <v>46251</v>
      </c>
      <c r="G19" s="4">
        <v>1</v>
      </c>
      <c r="H19" s="4" t="str">
        <f>G19</f>
        <v>0</v>
      </c>
      <c r="I19" s="34" t="s">
        <v>137</v>
      </c>
      <c r="J19" s="25"/>
    </row>
    <row r="20" spans="1:10" customHeight="1" ht="15">
      <c r="A20" s="25" t="s">
        <v>587</v>
      </c>
      <c r="B20" s="8" t="s">
        <v>241</v>
      </c>
      <c r="C20" s="33" t="s">
        <v>588</v>
      </c>
      <c r="D20" s="25" t="s">
        <v>496</v>
      </c>
      <c r="E20" s="24">
        <v>46252</v>
      </c>
      <c r="F20" s="24">
        <v>46252</v>
      </c>
      <c r="G20" s="4">
        <v>1</v>
      </c>
      <c r="H20" s="4" t="str">
        <f>G20</f>
        <v>0</v>
      </c>
      <c r="I20" s="34" t="s">
        <v>137</v>
      </c>
      <c r="J20" s="25"/>
    </row>
    <row r="21" spans="1:10" customHeight="1" ht="15">
      <c r="A21" s="25" t="s">
        <v>589</v>
      </c>
      <c r="B21" s="1" t="s">
        <v>269</v>
      </c>
      <c r="C21" s="33" t="s">
        <v>590</v>
      </c>
      <c r="D21" s="25" t="s">
        <v>496</v>
      </c>
      <c r="E21" s="24">
        <v>46252</v>
      </c>
      <c r="F21" s="24">
        <v>46252</v>
      </c>
      <c r="G21" s="4">
        <v>1</v>
      </c>
      <c r="H21" s="4" t="str">
        <f>G21</f>
        <v>0</v>
      </c>
      <c r="I21" s="34" t="s">
        <v>137</v>
      </c>
      <c r="J21" s="25"/>
    </row>
    <row r="22" spans="1:10" customHeight="1" ht="15">
      <c r="A22" s="25" t="s">
        <v>591</v>
      </c>
      <c r="B22" s="8" t="s">
        <v>241</v>
      </c>
      <c r="C22" s="33" t="s">
        <v>592</v>
      </c>
      <c r="D22" s="25" t="s">
        <v>496</v>
      </c>
      <c r="E22" s="24">
        <v>46252</v>
      </c>
      <c r="F22" s="24">
        <v>46252</v>
      </c>
      <c r="G22" s="4">
        <v>1</v>
      </c>
      <c r="H22" s="4" t="str">
        <f>G22</f>
        <v>0</v>
      </c>
      <c r="I22" s="34" t="s">
        <v>137</v>
      </c>
      <c r="J22" s="25"/>
    </row>
    <row r="23" spans="1:10" customHeight="1" ht="15">
      <c r="A23" s="25" t="s">
        <v>593</v>
      </c>
      <c r="B23" s="1" t="s">
        <v>241</v>
      </c>
      <c r="C23" s="33" t="s">
        <v>594</v>
      </c>
      <c r="D23" s="25" t="s">
        <v>496</v>
      </c>
      <c r="E23" s="24">
        <v>46252</v>
      </c>
      <c r="F23" s="24">
        <v>46252</v>
      </c>
      <c r="G23" s="4">
        <v>1</v>
      </c>
      <c r="H23" s="4" t="str">
        <f>G23</f>
        <v>0</v>
      </c>
      <c r="I23" s="34" t="s">
        <v>137</v>
      </c>
      <c r="J23" s="25"/>
    </row>
    <row r="24" spans="1:10" customHeight="1" ht="30.75">
      <c r="A24" s="25" t="s">
        <v>595</v>
      </c>
      <c r="B24" s="1" t="s">
        <v>255</v>
      </c>
      <c r="C24" s="33" t="s">
        <v>596</v>
      </c>
      <c r="D24" s="25" t="s">
        <v>496</v>
      </c>
      <c r="E24" s="24">
        <v>46253</v>
      </c>
      <c r="F24" s="24">
        <v>46254</v>
      </c>
      <c r="G24" s="4">
        <v>1</v>
      </c>
      <c r="H24" s="4" t="str">
        <f>G24</f>
        <v>0</v>
      </c>
      <c r="I24" s="34" t="s">
        <v>137</v>
      </c>
      <c r="J24" s="25"/>
    </row>
    <row r="25" spans="1:10" customHeight="1" ht="15">
      <c r="A25" s="25" t="s">
        <v>597</v>
      </c>
      <c r="B25" s="1" t="s">
        <v>241</v>
      </c>
      <c r="C25" s="33" t="s">
        <v>598</v>
      </c>
      <c r="D25" s="25" t="s">
        <v>496</v>
      </c>
      <c r="E25" s="24">
        <v>46254</v>
      </c>
      <c r="F25" s="24">
        <v>46254</v>
      </c>
      <c r="G25" s="4">
        <v>1</v>
      </c>
      <c r="H25" s="4" t="str">
        <f>G25</f>
        <v>0</v>
      </c>
      <c r="I25" s="34" t="s">
        <v>137</v>
      </c>
      <c r="J25" s="25"/>
    </row>
    <row r="26" spans="1:10" customHeight="1" ht="15">
      <c r="A26" s="25" t="s">
        <v>599</v>
      </c>
      <c r="B26" s="1" t="s">
        <v>255</v>
      </c>
      <c r="C26" s="33" t="s">
        <v>600</v>
      </c>
      <c r="D26" s="25" t="s">
        <v>496</v>
      </c>
      <c r="E26" s="24">
        <v>46254</v>
      </c>
      <c r="F26" s="24">
        <v>46254</v>
      </c>
      <c r="G26" s="4">
        <v>1</v>
      </c>
      <c r="H26" s="4" t="str">
        <f>G26</f>
        <v>0</v>
      </c>
      <c r="I26" s="34" t="s">
        <v>137</v>
      </c>
      <c r="J26" s="25"/>
    </row>
    <row r="27" spans="1:10" customHeight="1" ht="15">
      <c r="A27" s="25" t="s">
        <v>601</v>
      </c>
      <c r="B27" s="1" t="s">
        <v>269</v>
      </c>
      <c r="C27" s="33" t="s">
        <v>602</v>
      </c>
      <c r="D27" s="25" t="s">
        <v>496</v>
      </c>
      <c r="E27" s="24">
        <v>46255</v>
      </c>
      <c r="F27" s="24">
        <v>46255</v>
      </c>
      <c r="G27" s="4">
        <v>1</v>
      </c>
      <c r="H27" s="4" t="str">
        <f>G27</f>
        <v>0</v>
      </c>
      <c r="I27" s="34" t="s">
        <v>137</v>
      </c>
      <c r="J27" s="25"/>
    </row>
    <row r="28" spans="1:10" customHeight="1" ht="15">
      <c r="A28" s="25" t="s">
        <v>603</v>
      </c>
      <c r="B28" s="1" t="s">
        <v>269</v>
      </c>
      <c r="C28" s="33" t="s">
        <v>604</v>
      </c>
      <c r="D28" s="25" t="s">
        <v>496</v>
      </c>
      <c r="E28" s="24">
        <v>46255</v>
      </c>
      <c r="F28" s="24">
        <v>46255</v>
      </c>
      <c r="G28" s="4">
        <v>1</v>
      </c>
      <c r="H28" s="4" t="str">
        <f>G28</f>
        <v>0</v>
      </c>
      <c r="I28" s="34" t="s">
        <v>137</v>
      </c>
      <c r="J28" s="25"/>
    </row>
    <row r="29" spans="1:10" customHeight="1" ht="15">
      <c r="A29" s="25" t="s">
        <v>605</v>
      </c>
      <c r="B29" s="1" t="s">
        <v>269</v>
      </c>
      <c r="C29" s="33" t="s">
        <v>606</v>
      </c>
      <c r="D29" s="25" t="s">
        <v>496</v>
      </c>
      <c r="E29" s="24">
        <v>46255</v>
      </c>
      <c r="F29" s="24">
        <v>46255</v>
      </c>
      <c r="G29" s="4">
        <v>1</v>
      </c>
      <c r="H29" s="4" t="str">
        <f>G29</f>
        <v>0</v>
      </c>
      <c r="I29" s="34" t="s">
        <v>137</v>
      </c>
      <c r="J29" s="25"/>
    </row>
    <row r="30" spans="1:10" customHeight="1" ht="15">
      <c r="A30" s="25" t="s">
        <v>607</v>
      </c>
      <c r="B30" s="8" t="s">
        <v>241</v>
      </c>
      <c r="C30" s="33" t="s">
        <v>578</v>
      </c>
      <c r="D30" s="25" t="s">
        <v>496</v>
      </c>
      <c r="E30" s="24">
        <v>46255</v>
      </c>
      <c r="F30" s="24">
        <v>46255</v>
      </c>
      <c r="G30" s="4">
        <v>1</v>
      </c>
      <c r="H30" s="4" t="str">
        <f>G30</f>
        <v>0</v>
      </c>
      <c r="I30" s="34" t="s">
        <v>137</v>
      </c>
      <c r="J30" s="25"/>
    </row>
    <row r="31" spans="1:10" customHeight="1" ht="15">
      <c r="A31" s="25" t="s">
        <v>608</v>
      </c>
      <c r="B31" s="1" t="s">
        <v>255</v>
      </c>
      <c r="C31" s="33" t="s">
        <v>609</v>
      </c>
      <c r="D31" s="25" t="s">
        <v>496</v>
      </c>
      <c r="E31" s="24">
        <v>46255</v>
      </c>
      <c r="F31" s="24">
        <v>46255</v>
      </c>
      <c r="G31" s="4">
        <v>1</v>
      </c>
      <c r="H31" s="4" t="str">
        <f>G31</f>
        <v>0</v>
      </c>
      <c r="I31" s="34" t="s">
        <v>137</v>
      </c>
      <c r="J31" s="25"/>
    </row>
    <row r="32" spans="1:10" customHeight="1" ht="15">
      <c r="A32" s="25" t="s">
        <v>610</v>
      </c>
      <c r="B32" s="1" t="s">
        <v>255</v>
      </c>
      <c r="C32" s="33" t="s">
        <v>611</v>
      </c>
      <c r="D32" s="25" t="s">
        <v>496</v>
      </c>
      <c r="E32" s="24">
        <v>46255</v>
      </c>
      <c r="F32" s="24">
        <v>46255</v>
      </c>
      <c r="G32" s="4">
        <v>1</v>
      </c>
      <c r="H32" s="4" t="str">
        <f>G32</f>
        <v>0</v>
      </c>
      <c r="I32" s="34" t="s">
        <v>137</v>
      </c>
      <c r="J32" s="25"/>
    </row>
    <row r="33" spans="1:10" customHeight="1" ht="15">
      <c r="A33" s="25" t="s">
        <v>612</v>
      </c>
      <c r="B33" s="1" t="s">
        <v>269</v>
      </c>
      <c r="C33" s="33" t="s">
        <v>613</v>
      </c>
      <c r="D33" s="25" t="s">
        <v>496</v>
      </c>
      <c r="E33" s="24">
        <v>46255</v>
      </c>
      <c r="F33" s="24">
        <v>46255</v>
      </c>
      <c r="G33" s="4">
        <v>1</v>
      </c>
      <c r="H33" s="4" t="str">
        <f>G33</f>
        <v>0</v>
      </c>
      <c r="I33" s="34" t="s">
        <v>137</v>
      </c>
      <c r="J33" s="25"/>
    </row>
  </sheetData>
  <mergeCells>
    <mergeCell ref="A1:J1"/>
    <mergeCell ref="B4:J4"/>
    <mergeCell ref="A2:J2"/>
  </mergeCells>
  <dataValidations count="1">
    <dataValidation type="list" allowBlank="1" showDropDown="0" showInputMessage="0" showErrorMessage="0" sqref="I7:I33">
      <formula1>"À faire,En cours,En revue,Terminée,Bloquée"</formula1>
      <formula2>0</formula2>
    </dataValidation>
  </dataValidations>
  <printOptions gridLines="false" gridLinesSet="true"/>
  <pageMargins left="0.7" right="0.7" top="0.75" bottom="0.75" header="0.51181102362205" footer="0.51181102362205"/>
  <pageSetup paperSize="9" orientation="portrai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M30"/>
  <sheetViews>
    <sheetView tabSelected="0" workbookViewId="0" showGridLines="true" showRowColHeaders="1">
      <selection activeCell="J30" sqref="J30"/>
    </sheetView>
  </sheetViews>
  <sheetFormatPr defaultRowHeight="14.4" defaultColWidth="8.88671875" outlineLevelRow="0" outlineLevelCol="0"/>
  <cols>
    <col min="1" max="1" width="14.109375" customWidth="true" style="0"/>
    <col min="2" max="2" width="14.109375" customWidth="true" style="0"/>
    <col min="3" max="3" width="16" customWidth="true" style="0"/>
    <col min="4" max="4" width="17" customWidth="true" style="0"/>
    <col min="5" max="5" width="77.6640625" customWidth="true" style="0"/>
    <col min="6" max="6" width="13" customWidth="true" style="0"/>
    <col min="7" max="7" width="12" customWidth="true" style="50"/>
    <col min="8" max="8" width="12" customWidth="true" style="50"/>
    <col min="9" max="9" width="13" customWidth="true" style="50"/>
    <col min="10" max="10" width="15" customWidth="true" style="50"/>
    <col min="11" max="11" width="8" customWidth="true" style="50"/>
    <col min="12" max="12" width="12" customWidth="true" style="50"/>
    <col min="13" max="13" width="22" customWidth="true" style="0"/>
  </cols>
  <sheetData>
    <row r="1" spans="1:13" customHeight="1" ht="22.8">
      <c r="A1" s="38" t="s">
        <v>614</v>
      </c>
      <c r="B1" s="39"/>
      <c r="C1" s="39"/>
      <c r="D1" s="39"/>
      <c r="E1" s="39"/>
      <c r="F1" s="39"/>
      <c r="G1" s="39"/>
      <c r="H1" s="39"/>
      <c r="I1" s="39"/>
      <c r="J1" s="39"/>
      <c r="K1" s="39"/>
      <c r="L1" s="39"/>
      <c r="M1" s="39"/>
    </row>
    <row r="3" spans="1:13" customHeight="1" ht="53.4">
      <c r="A3" s="21" t="s">
        <v>453</v>
      </c>
      <c r="B3" s="42" t="s">
        <v>468</v>
      </c>
      <c r="C3" s="39"/>
      <c r="D3" s="39"/>
      <c r="E3" s="39"/>
      <c r="F3" s="39"/>
      <c r="G3" s="39"/>
      <c r="H3" s="39"/>
      <c r="I3" s="39"/>
      <c r="J3" s="39"/>
      <c r="K3" s="39"/>
      <c r="L3" s="39"/>
      <c r="M3" s="39"/>
    </row>
    <row r="4" spans="1:13" customHeight="1" ht="45"/>
    <row r="5" spans="1:13" customHeight="1" ht="26.4">
      <c r="A5" s="2" t="s">
        <v>476</v>
      </c>
      <c r="B5" s="2" t="s">
        <v>477</v>
      </c>
      <c r="C5" s="2" t="s">
        <v>119</v>
      </c>
      <c r="D5" s="2" t="s">
        <v>120</v>
      </c>
      <c r="E5" s="2" t="s">
        <v>478</v>
      </c>
      <c r="F5" s="2" t="s">
        <v>479</v>
      </c>
      <c r="G5" s="2" t="s">
        <v>480</v>
      </c>
      <c r="H5" s="2" t="s">
        <v>481</v>
      </c>
      <c r="I5" s="2" t="s">
        <v>482</v>
      </c>
      <c r="J5" s="2" t="s">
        <v>483</v>
      </c>
      <c r="K5" s="2" t="s">
        <v>484</v>
      </c>
      <c r="L5" s="2" t="s">
        <v>127</v>
      </c>
      <c r="M5" s="2" t="s">
        <v>485</v>
      </c>
    </row>
    <row r="6" spans="1:13" customHeight="1" ht="18">
      <c r="A6" s="1" t="s">
        <v>615</v>
      </c>
      <c r="B6" s="1" t="s">
        <v>293</v>
      </c>
      <c r="C6" s="1" t="s">
        <v>233</v>
      </c>
      <c r="D6" s="1" t="s">
        <v>294</v>
      </c>
      <c r="E6" s="1" t="s">
        <v>616</v>
      </c>
      <c r="F6" s="1" t="s">
        <v>488</v>
      </c>
      <c r="G6" s="48">
        <v>46261</v>
      </c>
      <c r="H6" s="48">
        <v>46261</v>
      </c>
      <c r="I6" s="49">
        <v>3</v>
      </c>
      <c r="J6" s="49" t="str">
        <f>I6</f>
        <v>0</v>
      </c>
      <c r="K6" s="49">
        <v>3</v>
      </c>
      <c r="L6" s="4" t="s">
        <v>617</v>
      </c>
      <c r="M6" s="1"/>
    </row>
    <row r="7" spans="1:13">
      <c r="A7" s="1" t="s">
        <v>618</v>
      </c>
      <c r="B7" s="1" t="s">
        <v>293</v>
      </c>
      <c r="C7" s="1" t="s">
        <v>233</v>
      </c>
      <c r="D7" s="1" t="s">
        <v>294</v>
      </c>
      <c r="E7" s="1" t="s">
        <v>619</v>
      </c>
      <c r="F7" s="1" t="s">
        <v>488</v>
      </c>
      <c r="G7" s="48">
        <v>46261</v>
      </c>
      <c r="H7" s="48">
        <v>46261</v>
      </c>
      <c r="I7" s="49">
        <v>2</v>
      </c>
      <c r="J7" s="49" t="str">
        <f>I7</f>
        <v>0</v>
      </c>
      <c r="K7" s="49">
        <v>2</v>
      </c>
      <c r="L7" s="4" t="s">
        <v>137</v>
      </c>
      <c r="M7" s="1" t="s">
        <v>620</v>
      </c>
    </row>
    <row r="8" spans="1:13">
      <c r="A8" s="1" t="s">
        <v>621</v>
      </c>
      <c r="B8" s="1" t="s">
        <v>298</v>
      </c>
      <c r="C8" s="1" t="s">
        <v>299</v>
      </c>
      <c r="D8" s="1" t="s">
        <v>294</v>
      </c>
      <c r="E8" s="1" t="s">
        <v>622</v>
      </c>
      <c r="F8" s="1" t="s">
        <v>488</v>
      </c>
      <c r="G8" s="48">
        <v>46261</v>
      </c>
      <c r="H8" s="48">
        <v>46261</v>
      </c>
      <c r="I8" s="49">
        <v>1</v>
      </c>
      <c r="J8" s="49" t="str">
        <f>I8</f>
        <v>0</v>
      </c>
      <c r="K8" s="49">
        <v>1</v>
      </c>
      <c r="L8" s="4" t="s">
        <v>617</v>
      </c>
      <c r="M8" s="1"/>
    </row>
    <row r="9" spans="1:13">
      <c r="A9" s="1" t="s">
        <v>623</v>
      </c>
      <c r="B9" s="1" t="s">
        <v>298</v>
      </c>
      <c r="C9" s="1" t="s">
        <v>299</v>
      </c>
      <c r="D9" s="1" t="s">
        <v>294</v>
      </c>
      <c r="E9" s="1" t="s">
        <v>624</v>
      </c>
      <c r="F9" s="1" t="s">
        <v>488</v>
      </c>
      <c r="G9" s="48">
        <v>46261</v>
      </c>
      <c r="H9" s="48">
        <v>46261</v>
      </c>
      <c r="I9" s="49">
        <v>2</v>
      </c>
      <c r="J9" s="49" t="str">
        <f>I9</f>
        <v>0</v>
      </c>
      <c r="K9" s="49">
        <v>2</v>
      </c>
      <c r="L9" s="4" t="s">
        <v>137</v>
      </c>
      <c r="M9" s="1" t="s">
        <v>620</v>
      </c>
    </row>
    <row r="10" spans="1:13">
      <c r="A10" s="1" t="s">
        <v>625</v>
      </c>
      <c r="B10" s="1" t="s">
        <v>314</v>
      </c>
      <c r="C10" s="1" t="s">
        <v>233</v>
      </c>
      <c r="D10" s="1" t="s">
        <v>294</v>
      </c>
      <c r="E10" s="1" t="s">
        <v>626</v>
      </c>
      <c r="F10" s="1" t="s">
        <v>488</v>
      </c>
      <c r="G10" s="48">
        <v>46261</v>
      </c>
      <c r="H10" s="48">
        <v>46261</v>
      </c>
      <c r="I10" s="49">
        <v>2</v>
      </c>
      <c r="J10" s="49" t="str">
        <f>I10</f>
        <v>0</v>
      </c>
      <c r="K10" s="49">
        <v>2</v>
      </c>
      <c r="L10" s="4" t="s">
        <v>617</v>
      </c>
      <c r="M10" s="1"/>
    </row>
    <row r="11" spans="1:13">
      <c r="A11" s="1" t="s">
        <v>627</v>
      </c>
      <c r="B11" s="1" t="s">
        <v>314</v>
      </c>
      <c r="C11" s="1" t="s">
        <v>233</v>
      </c>
      <c r="D11" s="1" t="s">
        <v>294</v>
      </c>
      <c r="E11" s="1" t="s">
        <v>628</v>
      </c>
      <c r="F11" s="1" t="s">
        <v>488</v>
      </c>
      <c r="G11" s="48">
        <v>46261</v>
      </c>
      <c r="H11" s="48">
        <v>46261</v>
      </c>
      <c r="I11" s="49">
        <v>3</v>
      </c>
      <c r="J11" s="49" t="str">
        <f>I11</f>
        <v>0</v>
      </c>
      <c r="K11" s="49">
        <v>3</v>
      </c>
      <c r="L11" s="4" t="s">
        <v>137</v>
      </c>
      <c r="M11" s="1" t="s">
        <v>620</v>
      </c>
    </row>
    <row r="12" spans="1:13">
      <c r="A12" s="1" t="s">
        <v>629</v>
      </c>
      <c r="B12" s="1" t="s">
        <v>322</v>
      </c>
      <c r="C12" s="1" t="s">
        <v>233</v>
      </c>
      <c r="D12" s="1" t="s">
        <v>238</v>
      </c>
      <c r="E12" s="1" t="s">
        <v>630</v>
      </c>
      <c r="F12" s="1" t="s">
        <v>488</v>
      </c>
      <c r="G12" s="48">
        <v>46261</v>
      </c>
      <c r="H12" s="48">
        <v>46261</v>
      </c>
      <c r="I12" s="49">
        <v>2</v>
      </c>
      <c r="J12" s="49" t="str">
        <f>I12</f>
        <v>0</v>
      </c>
      <c r="K12" s="49">
        <v>2</v>
      </c>
      <c r="L12" s="4" t="s">
        <v>137</v>
      </c>
      <c r="M12" s="1"/>
    </row>
    <row r="13" spans="1:13">
      <c r="A13" s="1" t="s">
        <v>631</v>
      </c>
      <c r="B13" s="1" t="s">
        <v>322</v>
      </c>
      <c r="C13" s="1" t="s">
        <v>233</v>
      </c>
      <c r="D13" s="1" t="s">
        <v>238</v>
      </c>
      <c r="E13" s="1" t="s">
        <v>632</v>
      </c>
      <c r="F13" s="1" t="s">
        <v>488</v>
      </c>
      <c r="G13" s="48">
        <v>46261</v>
      </c>
      <c r="H13" s="48">
        <v>46261</v>
      </c>
      <c r="I13" s="49">
        <v>3</v>
      </c>
      <c r="J13" s="49" t="str">
        <f>I13</f>
        <v>0</v>
      </c>
      <c r="K13" s="49">
        <v>3</v>
      </c>
      <c r="L13" s="4" t="s">
        <v>137</v>
      </c>
      <c r="M13" s="1" t="s">
        <v>620</v>
      </c>
    </row>
    <row r="14" spans="1:13">
      <c r="A14" s="1" t="s">
        <v>633</v>
      </c>
      <c r="B14" s="1" t="s">
        <v>283</v>
      </c>
      <c r="C14" s="1" t="s">
        <v>233</v>
      </c>
      <c r="D14" s="1" t="s">
        <v>263</v>
      </c>
      <c r="E14" s="1" t="s">
        <v>634</v>
      </c>
      <c r="F14" s="1" t="s">
        <v>488</v>
      </c>
      <c r="G14" s="48">
        <v>46262</v>
      </c>
      <c r="H14" s="48">
        <v>46262</v>
      </c>
      <c r="I14" s="49">
        <v>2</v>
      </c>
      <c r="J14" s="49" t="str">
        <f>I14</f>
        <v>0</v>
      </c>
      <c r="K14" s="49">
        <v>2</v>
      </c>
      <c r="L14" s="4" t="s">
        <v>617</v>
      </c>
      <c r="M14" s="1"/>
    </row>
    <row r="15" spans="1:13">
      <c r="A15" s="1" t="s">
        <v>635</v>
      </c>
      <c r="B15" s="1" t="s">
        <v>283</v>
      </c>
      <c r="C15" s="1" t="s">
        <v>233</v>
      </c>
      <c r="D15" s="1" t="s">
        <v>263</v>
      </c>
      <c r="E15" s="1" t="s">
        <v>636</v>
      </c>
      <c r="F15" s="1" t="s">
        <v>488</v>
      </c>
      <c r="G15" s="48">
        <v>46262</v>
      </c>
      <c r="H15" s="48">
        <v>46262</v>
      </c>
      <c r="I15" s="49">
        <v>2</v>
      </c>
      <c r="J15" s="49" t="str">
        <f>I15</f>
        <v>0</v>
      </c>
      <c r="K15" s="49">
        <v>2</v>
      </c>
      <c r="L15" s="4" t="s">
        <v>137</v>
      </c>
      <c r="M15" s="1" t="s">
        <v>620</v>
      </c>
    </row>
    <row r="16" spans="1:13">
      <c r="A16" s="1" t="s">
        <v>637</v>
      </c>
      <c r="B16" s="1" t="s">
        <v>283</v>
      </c>
      <c r="C16" s="1" t="s">
        <v>233</v>
      </c>
      <c r="D16" s="1" t="s">
        <v>263</v>
      </c>
      <c r="E16" s="1" t="s">
        <v>638</v>
      </c>
      <c r="F16" s="1" t="s">
        <v>488</v>
      </c>
      <c r="G16" s="48">
        <v>46262</v>
      </c>
      <c r="H16" s="48">
        <v>46262</v>
      </c>
      <c r="I16" s="49">
        <v>2</v>
      </c>
      <c r="J16" s="49" t="str">
        <f>I16</f>
        <v>0</v>
      </c>
      <c r="K16" s="49">
        <v>2</v>
      </c>
      <c r="L16" s="4" t="s">
        <v>137</v>
      </c>
      <c r="M16" s="1"/>
    </row>
    <row r="17" spans="1:13">
      <c r="A17" s="1" t="s">
        <v>639</v>
      </c>
      <c r="B17" s="1" t="s">
        <v>283</v>
      </c>
      <c r="C17" s="1" t="s">
        <v>233</v>
      </c>
      <c r="D17" s="1" t="s">
        <v>263</v>
      </c>
      <c r="E17" s="1" t="s">
        <v>640</v>
      </c>
      <c r="F17" s="1" t="s">
        <v>488</v>
      </c>
      <c r="G17" s="48">
        <v>46262</v>
      </c>
      <c r="H17" s="48">
        <v>46262</v>
      </c>
      <c r="I17" s="49">
        <v>2</v>
      </c>
      <c r="J17" s="49" t="str">
        <f>I17</f>
        <v>0</v>
      </c>
      <c r="K17" s="49">
        <v>2</v>
      </c>
      <c r="L17" s="4" t="s">
        <v>137</v>
      </c>
      <c r="M17" s="1" t="s">
        <v>620</v>
      </c>
    </row>
    <row r="18" spans="1:13">
      <c r="A18" s="1" t="s">
        <v>641</v>
      </c>
      <c r="B18" s="1" t="s">
        <v>286</v>
      </c>
      <c r="C18" s="1" t="s">
        <v>233</v>
      </c>
      <c r="D18" s="1" t="s">
        <v>263</v>
      </c>
      <c r="E18" s="1" t="s">
        <v>642</v>
      </c>
      <c r="F18" s="1" t="s">
        <v>488</v>
      </c>
      <c r="G18" s="48">
        <v>46262</v>
      </c>
      <c r="H18" s="48">
        <v>46262</v>
      </c>
      <c r="I18" s="49">
        <v>2</v>
      </c>
      <c r="J18" s="49" t="str">
        <f>I18</f>
        <v>0</v>
      </c>
      <c r="K18" s="49">
        <v>2</v>
      </c>
      <c r="L18" s="4" t="s">
        <v>137</v>
      </c>
      <c r="M18" s="1"/>
    </row>
    <row r="19" spans="1:13">
      <c r="A19" s="1" t="s">
        <v>643</v>
      </c>
      <c r="B19" s="1" t="s">
        <v>286</v>
      </c>
      <c r="C19" s="1" t="s">
        <v>233</v>
      </c>
      <c r="D19" s="1" t="s">
        <v>263</v>
      </c>
      <c r="E19" s="1" t="s">
        <v>644</v>
      </c>
      <c r="F19" s="1" t="s">
        <v>488</v>
      </c>
      <c r="G19" s="48">
        <v>46262</v>
      </c>
      <c r="H19" s="48">
        <v>46262</v>
      </c>
      <c r="I19" s="49">
        <v>2</v>
      </c>
      <c r="J19" s="49" t="str">
        <f>I19</f>
        <v>0</v>
      </c>
      <c r="K19" s="49">
        <v>2</v>
      </c>
      <c r="L19" s="4" t="s">
        <v>137</v>
      </c>
      <c r="M19" s="1" t="s">
        <v>620</v>
      </c>
    </row>
    <row r="20" spans="1:13">
      <c r="A20" s="1" t="s">
        <v>645</v>
      </c>
      <c r="B20" s="1" t="s">
        <v>258</v>
      </c>
      <c r="C20" s="1" t="s">
        <v>252</v>
      </c>
      <c r="D20" s="1" t="s">
        <v>259</v>
      </c>
      <c r="E20" s="1" t="s">
        <v>646</v>
      </c>
      <c r="F20" s="1" t="s">
        <v>488</v>
      </c>
      <c r="G20" s="48">
        <v>46262</v>
      </c>
      <c r="H20" s="48">
        <v>46262</v>
      </c>
      <c r="I20" s="49">
        <v>2</v>
      </c>
      <c r="J20" s="49" t="str">
        <f>I20</f>
        <v>0</v>
      </c>
      <c r="K20" s="49">
        <v>2</v>
      </c>
      <c r="L20" s="4" t="s">
        <v>137</v>
      </c>
      <c r="M20" s="1"/>
    </row>
    <row r="21" spans="1:13" customHeight="1" ht="26.4">
      <c r="A21" s="1" t="s">
        <v>647</v>
      </c>
      <c r="B21" s="1" t="s">
        <v>258</v>
      </c>
      <c r="C21" s="1" t="s">
        <v>252</v>
      </c>
      <c r="D21" s="1" t="s">
        <v>259</v>
      </c>
      <c r="E21" s="1" t="s">
        <v>648</v>
      </c>
      <c r="F21" s="1" t="s">
        <v>488</v>
      </c>
      <c r="G21" s="48">
        <v>46262</v>
      </c>
      <c r="H21" s="48">
        <v>46262</v>
      </c>
      <c r="I21" s="49">
        <v>3</v>
      </c>
      <c r="J21" s="49" t="str">
        <f>I21</f>
        <v>0</v>
      </c>
      <c r="K21" s="49">
        <v>3</v>
      </c>
      <c r="L21" s="4" t="s">
        <v>137</v>
      </c>
      <c r="M21" s="1" t="s">
        <v>620</v>
      </c>
    </row>
    <row r="22" spans="1:13">
      <c r="A22" s="1" t="s">
        <v>649</v>
      </c>
      <c r="B22" s="1" t="s">
        <v>650</v>
      </c>
      <c r="C22" s="1" t="s">
        <v>233</v>
      </c>
      <c r="D22" s="1" t="s">
        <v>651</v>
      </c>
      <c r="E22" s="1" t="s">
        <v>652</v>
      </c>
      <c r="F22" s="1" t="s">
        <v>488</v>
      </c>
      <c r="G22" s="48">
        <v>46263</v>
      </c>
      <c r="H22" s="48">
        <v>46263</v>
      </c>
      <c r="I22" s="49">
        <v>1</v>
      </c>
      <c r="J22" s="49" t="str">
        <f>I22</f>
        <v>0</v>
      </c>
      <c r="K22" s="49">
        <v>1</v>
      </c>
      <c r="L22" s="4" t="s">
        <v>137</v>
      </c>
      <c r="M22" s="1"/>
    </row>
    <row r="23" spans="1:13">
      <c r="A23" s="1" t="s">
        <v>653</v>
      </c>
      <c r="B23" s="1" t="s">
        <v>650</v>
      </c>
      <c r="C23" s="1" t="s">
        <v>233</v>
      </c>
      <c r="D23" s="1" t="s">
        <v>651</v>
      </c>
      <c r="E23" s="1" t="s">
        <v>654</v>
      </c>
      <c r="F23" s="1" t="s">
        <v>488</v>
      </c>
      <c r="G23" s="48">
        <v>46263</v>
      </c>
      <c r="H23" s="48">
        <v>46263</v>
      </c>
      <c r="I23" s="49">
        <v>2</v>
      </c>
      <c r="J23" s="49" t="str">
        <f>I23</f>
        <v>0</v>
      </c>
      <c r="K23" s="49">
        <v>2</v>
      </c>
      <c r="L23" s="4" t="s">
        <v>137</v>
      </c>
      <c r="M23" s="1" t="s">
        <v>620</v>
      </c>
    </row>
    <row r="24" spans="1:13">
      <c r="A24" s="1" t="s">
        <v>655</v>
      </c>
      <c r="B24" s="1" t="s">
        <v>656</v>
      </c>
      <c r="C24" s="1" t="s">
        <v>233</v>
      </c>
      <c r="D24" s="1" t="s">
        <v>657</v>
      </c>
      <c r="E24" s="1" t="s">
        <v>658</v>
      </c>
      <c r="F24" s="1" t="s">
        <v>488</v>
      </c>
      <c r="G24" s="48">
        <v>46263</v>
      </c>
      <c r="H24" s="48">
        <v>46263</v>
      </c>
      <c r="I24" s="49">
        <v>1</v>
      </c>
      <c r="J24" s="49" t="str">
        <f>I24</f>
        <v>0</v>
      </c>
      <c r="K24" s="49">
        <v>1</v>
      </c>
      <c r="L24" s="4" t="s">
        <v>137</v>
      </c>
      <c r="M24" s="1"/>
    </row>
    <row r="25" spans="1:13" customHeight="1" ht="26.4">
      <c r="A25" s="1" t="s">
        <v>659</v>
      </c>
      <c r="B25" s="1" t="s">
        <v>656</v>
      </c>
      <c r="C25" s="1" t="s">
        <v>233</v>
      </c>
      <c r="D25" s="1" t="s">
        <v>657</v>
      </c>
      <c r="E25" s="1" t="s">
        <v>660</v>
      </c>
      <c r="F25" s="1" t="s">
        <v>488</v>
      </c>
      <c r="G25" s="48">
        <v>46263</v>
      </c>
      <c r="H25" s="48">
        <v>46263</v>
      </c>
      <c r="I25" s="49">
        <v>2</v>
      </c>
      <c r="J25" s="49" t="str">
        <f>I25</f>
        <v>0</v>
      </c>
      <c r="K25" s="49">
        <v>2</v>
      </c>
      <c r="L25" s="4" t="s">
        <v>137</v>
      </c>
      <c r="M25" s="1" t="s">
        <v>620</v>
      </c>
    </row>
    <row r="26" spans="1:13">
      <c r="A26" s="1" t="s">
        <v>661</v>
      </c>
      <c r="B26" s="1" t="s">
        <v>383</v>
      </c>
      <c r="C26" s="1" t="s">
        <v>344</v>
      </c>
      <c r="D26" s="1" t="s">
        <v>384</v>
      </c>
      <c r="E26" s="1" t="s">
        <v>662</v>
      </c>
      <c r="F26" s="1" t="s">
        <v>488</v>
      </c>
      <c r="G26" s="48">
        <v>46263</v>
      </c>
      <c r="H26" s="48">
        <v>46263</v>
      </c>
      <c r="I26" s="49">
        <v>3</v>
      </c>
      <c r="J26" s="49" t="str">
        <f>I26</f>
        <v>0</v>
      </c>
      <c r="K26" s="49">
        <v>3</v>
      </c>
      <c r="L26" s="4" t="s">
        <v>137</v>
      </c>
      <c r="M26" s="1"/>
    </row>
    <row r="27" spans="1:13">
      <c r="A27" s="1" t="s">
        <v>663</v>
      </c>
      <c r="B27" s="1" t="s">
        <v>383</v>
      </c>
      <c r="C27" s="1" t="s">
        <v>344</v>
      </c>
      <c r="D27" s="1" t="s">
        <v>384</v>
      </c>
      <c r="E27" s="1" t="s">
        <v>664</v>
      </c>
      <c r="F27" s="1" t="s">
        <v>488</v>
      </c>
      <c r="G27" s="48">
        <v>46263</v>
      </c>
      <c r="H27" s="48">
        <v>46263</v>
      </c>
      <c r="I27" s="49">
        <v>3</v>
      </c>
      <c r="J27" s="49" t="str">
        <f>I27</f>
        <v>0</v>
      </c>
      <c r="K27" s="49">
        <v>3</v>
      </c>
      <c r="L27" s="4" t="s">
        <v>137</v>
      </c>
      <c r="M27" s="1" t="s">
        <v>620</v>
      </c>
    </row>
    <row r="28" spans="1:13">
      <c r="A28" s="1" t="s">
        <v>665</v>
      </c>
      <c r="B28" s="1" t="s">
        <v>380</v>
      </c>
      <c r="C28" s="1" t="s">
        <v>252</v>
      </c>
      <c r="D28" s="1" t="s">
        <v>371</v>
      </c>
      <c r="E28" s="1" t="s">
        <v>666</v>
      </c>
      <c r="F28" s="1" t="s">
        <v>488</v>
      </c>
      <c r="G28" s="48">
        <v>46263</v>
      </c>
      <c r="H28" s="48">
        <v>46263</v>
      </c>
      <c r="I28" s="49">
        <v>1</v>
      </c>
      <c r="J28" s="49" t="str">
        <f>I28</f>
        <v>0</v>
      </c>
      <c r="K28" s="49">
        <v>1</v>
      </c>
      <c r="L28" s="4" t="s">
        <v>137</v>
      </c>
      <c r="M28" s="1"/>
    </row>
    <row r="29" spans="1:13">
      <c r="A29" s="1" t="s">
        <v>667</v>
      </c>
      <c r="B29" s="1" t="s">
        <v>380</v>
      </c>
      <c r="C29" s="1" t="s">
        <v>252</v>
      </c>
      <c r="D29" s="1" t="s">
        <v>371</v>
      </c>
      <c r="E29" s="1" t="s">
        <v>668</v>
      </c>
      <c r="F29" s="1" t="s">
        <v>488</v>
      </c>
      <c r="G29" s="48">
        <v>46263</v>
      </c>
      <c r="H29" s="48">
        <v>46263</v>
      </c>
      <c r="I29" s="49">
        <v>2</v>
      </c>
      <c r="J29" s="49" t="str">
        <f>I29</f>
        <v>0</v>
      </c>
      <c r="K29" s="49">
        <v>2</v>
      </c>
      <c r="L29" s="4" t="s">
        <v>137</v>
      </c>
      <c r="M29" s="1" t="s">
        <v>620</v>
      </c>
    </row>
    <row r="30" spans="1:13">
      <c r="E30" s="2" t="s">
        <v>114</v>
      </c>
      <c r="I30" s="49" t="str">
        <f>SUM(I6:I29)</f>
        <v>0</v>
      </c>
      <c r="J30" s="49" t="str">
        <f>SUM(J6:J29)</f>
        <v>0</v>
      </c>
    </row>
  </sheetData>
  <mergeCells>
    <mergeCell ref="B3:M3"/>
    <mergeCell ref="A1:M1"/>
  </mergeCells>
  <dataValidations count="1">
    <dataValidation type="list" allowBlank="1" showDropDown="0" showInputMessage="0" showErrorMessage="0" sqref="L6:L29">
      <formula1>"À faire,En cours,En revue,Terminée,Bloquée"</formula1>
      <formula2>0</formula2>
    </dataValidation>
  </dataValidation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33"/>
  <sheetViews>
    <sheetView tabSelected="0" workbookViewId="0" showGridLines="true" showRowColHeaders="1" topLeftCell="A11">
      <selection activeCell="H23" sqref="H23"/>
    </sheetView>
  </sheetViews>
  <sheetFormatPr defaultRowHeight="14.4" defaultColWidth="8.6640625" outlineLevelRow="0" outlineLevelCol="0"/>
  <cols>
    <col min="1" max="1" width="11" customWidth="true" style="0"/>
    <col min="2" max="2" width="21.6640625" customWidth="true" style="0"/>
    <col min="3" max="3" width="62" customWidth="true" style="28"/>
    <col min="4" max="4" width="16" customWidth="true" style="0"/>
    <col min="5" max="5" width="16" customWidth="true" style="35"/>
    <col min="6" max="6" width="16" customWidth="true" style="35"/>
    <col min="7" max="7" width="15" customWidth="true" style="0"/>
    <col min="8" max="8" width="17" customWidth="true" style="0"/>
    <col min="9" max="9" width="14" customWidth="true" style="0"/>
    <col min="10" max="10" width="34" customWidth="true" style="0"/>
  </cols>
  <sheetData>
    <row r="1" spans="1:10" customHeight="1" ht="25.5">
      <c r="A1" s="46" t="s">
        <v>669</v>
      </c>
      <c r="B1" s="39"/>
      <c r="C1" s="45"/>
      <c r="D1" s="39"/>
      <c r="E1" s="47"/>
      <c r="F1" s="47"/>
      <c r="G1" s="39"/>
      <c r="H1" s="39"/>
      <c r="I1" s="39"/>
      <c r="J1" s="39"/>
    </row>
    <row r="2" spans="1:10" customHeight="1" ht="14.25">
      <c r="A2" s="41" t="s">
        <v>670</v>
      </c>
      <c r="B2" s="39"/>
      <c r="C2" s="45"/>
      <c r="D2" s="39"/>
      <c r="E2" s="47"/>
      <c r="F2" s="47"/>
      <c r="G2" s="39"/>
      <c r="H2" s="39"/>
      <c r="I2" s="39"/>
      <c r="J2" s="39"/>
    </row>
    <row r="3" spans="1:10" customHeight="1" ht="15.75"/>
    <row r="4" spans="1:10" customHeight="1" ht="31.5">
      <c r="A4" s="21" t="s">
        <v>453</v>
      </c>
      <c r="B4" s="42" t="s">
        <v>468</v>
      </c>
      <c r="C4" s="43"/>
      <c r="D4" s="43"/>
      <c r="E4" s="43"/>
      <c r="F4" s="43"/>
      <c r="G4" s="43"/>
      <c r="H4" s="43"/>
      <c r="I4" s="43"/>
      <c r="J4" s="44"/>
    </row>
    <row r="6" spans="1:10" customHeight="1" ht="30">
      <c r="A6" s="2" t="s">
        <v>476</v>
      </c>
      <c r="B6" s="2" t="s">
        <v>477</v>
      </c>
      <c r="C6" s="29" t="s">
        <v>478</v>
      </c>
      <c r="D6" s="2" t="s">
        <v>479</v>
      </c>
      <c r="E6" s="36" t="s">
        <v>480</v>
      </c>
      <c r="F6" s="36" t="s">
        <v>481</v>
      </c>
      <c r="G6" s="2" t="s">
        <v>482</v>
      </c>
      <c r="H6" s="2" t="s">
        <v>483</v>
      </c>
      <c r="I6" s="2" t="s">
        <v>127</v>
      </c>
      <c r="J6" s="2" t="s">
        <v>485</v>
      </c>
    </row>
    <row r="7" spans="1:10" customHeight="1" ht="34.8">
      <c r="A7" s="25" t="s">
        <v>671</v>
      </c>
      <c r="B7" s="1" t="s">
        <v>293</v>
      </c>
      <c r="C7" s="33" t="s">
        <v>672</v>
      </c>
      <c r="D7" s="25" t="s">
        <v>496</v>
      </c>
      <c r="E7" s="37">
        <v>46262</v>
      </c>
      <c r="F7" s="37">
        <v>46262</v>
      </c>
      <c r="G7" s="4">
        <v>1</v>
      </c>
      <c r="H7" s="4">
        <v>1</v>
      </c>
      <c r="I7" s="4" t="s">
        <v>137</v>
      </c>
      <c r="J7" s="25"/>
    </row>
    <row r="8" spans="1:10" customHeight="1" ht="35.4">
      <c r="A8" s="25" t="s">
        <v>673</v>
      </c>
      <c r="B8" s="1" t="s">
        <v>298</v>
      </c>
      <c r="C8" s="33" t="s">
        <v>674</v>
      </c>
      <c r="D8" s="25" t="s">
        <v>496</v>
      </c>
      <c r="E8" s="37">
        <v>46262</v>
      </c>
      <c r="F8" s="37">
        <v>46262</v>
      </c>
      <c r="G8" s="4">
        <v>1</v>
      </c>
      <c r="H8" s="4">
        <v>1</v>
      </c>
      <c r="I8" s="4" t="s">
        <v>137</v>
      </c>
      <c r="J8" s="25"/>
    </row>
    <row r="9" spans="1:10" customHeight="1" ht="26.4">
      <c r="A9" s="25" t="s">
        <v>675</v>
      </c>
      <c r="B9" s="1" t="s">
        <v>397</v>
      </c>
      <c r="C9" s="33" t="s">
        <v>676</v>
      </c>
      <c r="D9" s="25" t="s">
        <v>496</v>
      </c>
      <c r="E9" s="37">
        <v>46263</v>
      </c>
      <c r="F9" s="37">
        <v>46263</v>
      </c>
      <c r="G9" s="4">
        <v>1</v>
      </c>
      <c r="H9" s="4">
        <v>1</v>
      </c>
      <c r="I9" s="4" t="s">
        <v>137</v>
      </c>
      <c r="J9" s="25"/>
    </row>
    <row r="10" spans="1:10" customHeight="1" ht="28.2">
      <c r="A10" s="25" t="s">
        <v>677</v>
      </c>
      <c r="B10" s="1" t="s">
        <v>400</v>
      </c>
      <c r="C10" s="33" t="s">
        <v>678</v>
      </c>
      <c r="D10" s="25" t="s">
        <v>496</v>
      </c>
      <c r="E10" s="37">
        <v>46263</v>
      </c>
      <c r="F10" s="37">
        <v>46263</v>
      </c>
      <c r="G10" s="4">
        <v>1</v>
      </c>
      <c r="H10" s="4">
        <v>1</v>
      </c>
      <c r="I10" s="4" t="s">
        <v>137</v>
      </c>
      <c r="J10" s="25"/>
    </row>
    <row r="11" spans="1:10" customHeight="1" ht="31.8">
      <c r="A11" s="25" t="s">
        <v>679</v>
      </c>
      <c r="B11" s="1" t="s">
        <v>403</v>
      </c>
      <c r="C11" s="33" t="s">
        <v>680</v>
      </c>
      <c r="D11" s="25" t="s">
        <v>496</v>
      </c>
      <c r="E11" s="37">
        <v>46263</v>
      </c>
      <c r="F11" s="37">
        <v>46263</v>
      </c>
      <c r="G11" s="4">
        <v>1</v>
      </c>
      <c r="H11" s="4">
        <v>1</v>
      </c>
      <c r="I11" s="4" t="s">
        <v>137</v>
      </c>
      <c r="J11" s="25"/>
    </row>
    <row r="12" spans="1:10" customHeight="1" ht="23.25">
      <c r="A12" s="25" t="s">
        <v>681</v>
      </c>
      <c r="B12" s="1" t="s">
        <v>406</v>
      </c>
      <c r="C12" s="33" t="s">
        <v>682</v>
      </c>
      <c r="D12" s="25" t="s">
        <v>496</v>
      </c>
      <c r="E12" s="37">
        <v>46263</v>
      </c>
      <c r="F12" s="37">
        <v>46263</v>
      </c>
      <c r="G12" s="4">
        <v>1</v>
      </c>
      <c r="H12" s="4">
        <v>1</v>
      </c>
      <c r="I12" s="4" t="s">
        <v>137</v>
      </c>
      <c r="J12" s="25"/>
    </row>
    <row r="13" spans="1:10" customHeight="1" ht="26.25">
      <c r="A13" s="25" t="s">
        <v>683</v>
      </c>
      <c r="B13" s="1" t="s">
        <v>409</v>
      </c>
      <c r="C13" s="33" t="s">
        <v>684</v>
      </c>
      <c r="D13" s="25" t="s">
        <v>496</v>
      </c>
      <c r="E13" s="37">
        <v>46265</v>
      </c>
      <c r="F13" s="37">
        <v>46265</v>
      </c>
      <c r="G13" s="4">
        <v>1</v>
      </c>
      <c r="H13" s="4">
        <v>1</v>
      </c>
      <c r="I13" s="4" t="s">
        <v>137</v>
      </c>
      <c r="J13" s="25"/>
    </row>
    <row r="14" spans="1:10" customHeight="1" ht="23.25">
      <c r="A14" s="25" t="s">
        <v>685</v>
      </c>
      <c r="B14" s="1" t="s">
        <v>412</v>
      </c>
      <c r="C14" s="33" t="s">
        <v>686</v>
      </c>
      <c r="D14" s="25" t="s">
        <v>496</v>
      </c>
      <c r="E14" s="37">
        <v>46265</v>
      </c>
      <c r="F14" s="37">
        <v>46265</v>
      </c>
      <c r="G14" s="4">
        <v>1</v>
      </c>
      <c r="H14" s="4">
        <v>1</v>
      </c>
      <c r="I14" s="4" t="s">
        <v>137</v>
      </c>
      <c r="J14" s="25"/>
    </row>
    <row r="15" spans="1:10" customHeight="1" ht="23.25">
      <c r="A15" s="25" t="s">
        <v>687</v>
      </c>
      <c r="B15" s="1" t="s">
        <v>416</v>
      </c>
      <c r="C15" s="33" t="s">
        <v>688</v>
      </c>
      <c r="D15" s="25" t="s">
        <v>496</v>
      </c>
      <c r="E15" s="37">
        <v>46265</v>
      </c>
      <c r="F15" s="37">
        <v>46265</v>
      </c>
      <c r="G15" s="4">
        <v>1</v>
      </c>
      <c r="H15" s="4">
        <v>1</v>
      </c>
      <c r="I15" s="4" t="s">
        <v>137</v>
      </c>
      <c r="J15" s="25"/>
    </row>
    <row r="16" spans="1:10" customHeight="1" ht="23.25">
      <c r="A16" s="25" t="s">
        <v>689</v>
      </c>
      <c r="B16" s="1" t="s">
        <v>419</v>
      </c>
      <c r="C16" s="33" t="s">
        <v>690</v>
      </c>
      <c r="D16" s="25" t="s">
        <v>496</v>
      </c>
      <c r="E16" s="37">
        <v>46265</v>
      </c>
      <c r="F16" s="37">
        <v>46265</v>
      </c>
      <c r="G16" s="4">
        <v>1</v>
      </c>
      <c r="H16" s="4">
        <v>1</v>
      </c>
      <c r="I16" s="4" t="s">
        <v>137</v>
      </c>
      <c r="J16" s="25"/>
    </row>
    <row r="17" spans="1:10" customHeight="1" ht="23.25">
      <c r="A17" s="25" t="s">
        <v>691</v>
      </c>
      <c r="B17" s="1" t="s">
        <v>422</v>
      </c>
      <c r="C17" s="33" t="s">
        <v>692</v>
      </c>
      <c r="D17" s="25" t="s">
        <v>496</v>
      </c>
      <c r="E17" s="37">
        <v>46265</v>
      </c>
      <c r="F17" s="37">
        <v>46265</v>
      </c>
      <c r="G17" s="4">
        <v>1</v>
      </c>
      <c r="H17" s="4">
        <v>1</v>
      </c>
      <c r="I17" s="4" t="s">
        <v>137</v>
      </c>
      <c r="J17" s="25"/>
    </row>
    <row r="18" spans="1:10" customHeight="1" ht="31.8">
      <c r="A18" s="25" t="s">
        <v>693</v>
      </c>
      <c r="B18" s="1" t="s">
        <v>425</v>
      </c>
      <c r="C18" s="33" t="s">
        <v>694</v>
      </c>
      <c r="D18" s="25" t="s">
        <v>496</v>
      </c>
      <c r="E18" s="37">
        <v>46266</v>
      </c>
      <c r="F18" s="37">
        <v>46266</v>
      </c>
      <c r="G18" s="4">
        <v>1</v>
      </c>
      <c r="H18" s="4">
        <v>1</v>
      </c>
      <c r="I18" s="4" t="s">
        <v>137</v>
      </c>
      <c r="J18" s="25"/>
    </row>
    <row r="19" spans="1:10" customHeight="1" ht="26.25">
      <c r="A19" s="25" t="s">
        <v>695</v>
      </c>
      <c r="B19" s="1" t="s">
        <v>429</v>
      </c>
      <c r="C19" s="33" t="s">
        <v>696</v>
      </c>
      <c r="D19" s="25" t="s">
        <v>496</v>
      </c>
      <c r="E19" s="37">
        <v>46266</v>
      </c>
      <c r="F19" s="37">
        <v>46266</v>
      </c>
      <c r="G19" s="4">
        <v>1</v>
      </c>
      <c r="H19" s="4">
        <v>1</v>
      </c>
      <c r="I19" s="4" t="s">
        <v>137</v>
      </c>
      <c r="J19" s="25"/>
    </row>
    <row r="20" spans="1:10" customHeight="1" ht="41.4">
      <c r="A20" s="25" t="s">
        <v>697</v>
      </c>
      <c r="B20" s="1" t="s">
        <v>433</v>
      </c>
      <c r="C20" s="33" t="s">
        <v>698</v>
      </c>
      <c r="D20" s="25" t="s">
        <v>496</v>
      </c>
      <c r="E20" s="37">
        <v>46266</v>
      </c>
      <c r="F20" s="37">
        <v>46266</v>
      </c>
      <c r="G20" s="4">
        <v>1</v>
      </c>
      <c r="H20" s="4">
        <v>1</v>
      </c>
      <c r="I20" s="4" t="s">
        <v>137</v>
      </c>
      <c r="J20" s="25"/>
    </row>
    <row r="21" spans="1:10" customHeight="1" ht="33">
      <c r="A21" s="25" t="s">
        <v>699</v>
      </c>
      <c r="B21" s="1" t="s">
        <v>437</v>
      </c>
      <c r="C21" s="33" t="s">
        <v>700</v>
      </c>
      <c r="D21" s="25" t="s">
        <v>496</v>
      </c>
      <c r="E21" s="37">
        <v>46266</v>
      </c>
      <c r="F21" s="37">
        <v>46266</v>
      </c>
      <c r="G21" s="4">
        <v>1</v>
      </c>
      <c r="H21" s="4">
        <v>1</v>
      </c>
      <c r="I21" s="4" t="s">
        <v>137</v>
      </c>
      <c r="J21" s="25"/>
    </row>
    <row r="22" spans="1:10" customHeight="1" ht="30.6">
      <c r="A22" s="25" t="s">
        <v>701</v>
      </c>
      <c r="B22" s="1" t="s">
        <v>440</v>
      </c>
      <c r="C22" s="33" t="s">
        <v>702</v>
      </c>
      <c r="D22" s="25" t="s">
        <v>496</v>
      </c>
      <c r="E22" s="37">
        <v>46266</v>
      </c>
      <c r="F22" s="37">
        <v>46266</v>
      </c>
      <c r="G22" s="4">
        <v>1</v>
      </c>
      <c r="H22" s="4">
        <v>1</v>
      </c>
      <c r="I22" s="4" t="s">
        <v>137</v>
      </c>
      <c r="J22" s="25"/>
    </row>
    <row r="23" spans="1:10" customHeight="1" ht="15">
      <c r="A23" s="25"/>
      <c r="B23" s="1"/>
      <c r="C23" s="33" t="s">
        <v>114</v>
      </c>
      <c r="D23" s="25"/>
      <c r="E23" s="37"/>
      <c r="F23" s="37"/>
      <c r="G23" s="4" t="str">
        <f>SUM(G7:G22)</f>
        <v>0</v>
      </c>
      <c r="H23" s="4" t="str">
        <f>SUM(H7:H22)</f>
        <v>0</v>
      </c>
      <c r="I23" s="4"/>
      <c r="J23" s="25"/>
    </row>
    <row r="24" spans="1:10" customHeight="1" ht="30.75">
      <c r="A24" s="25"/>
      <c r="B24" s="1"/>
      <c r="C24" s="33"/>
      <c r="D24" s="25"/>
      <c r="E24" s="37"/>
      <c r="F24" s="37"/>
      <c r="G24" s="4"/>
      <c r="H24" s="4"/>
      <c r="I24" s="34"/>
      <c r="J24" s="25"/>
    </row>
    <row r="25" spans="1:10" customHeight="1" ht="15">
      <c r="A25" s="25"/>
      <c r="B25" s="1"/>
      <c r="C25" s="33"/>
      <c r="D25" s="25"/>
      <c r="E25" s="37"/>
      <c r="F25" s="37"/>
      <c r="G25" s="4"/>
      <c r="H25" s="4"/>
      <c r="I25" s="34"/>
      <c r="J25" s="25"/>
    </row>
    <row r="26" spans="1:10" customHeight="1" ht="15">
      <c r="A26" s="25"/>
      <c r="B26" s="1"/>
      <c r="C26" s="33"/>
      <c r="D26" s="25"/>
      <c r="E26" s="37"/>
      <c r="F26" s="37"/>
      <c r="G26" s="4"/>
      <c r="H26" s="4"/>
      <c r="I26" s="34"/>
      <c r="J26" s="25"/>
    </row>
    <row r="27" spans="1:10" customHeight="1" ht="15">
      <c r="A27" s="25"/>
      <c r="B27" s="1"/>
      <c r="C27" s="33"/>
      <c r="D27" s="25"/>
      <c r="E27" s="37"/>
      <c r="F27" s="37"/>
      <c r="G27" s="4"/>
      <c r="H27" s="4"/>
      <c r="I27" s="34"/>
      <c r="J27" s="25"/>
    </row>
    <row r="28" spans="1:10" customHeight="1" ht="15">
      <c r="A28" s="25"/>
      <c r="B28" s="1"/>
      <c r="C28" s="33"/>
      <c r="D28" s="25"/>
      <c r="E28" s="37"/>
      <c r="F28" s="37"/>
      <c r="G28" s="4"/>
      <c r="H28" s="4"/>
      <c r="I28" s="34"/>
      <c r="J28" s="25"/>
    </row>
    <row r="29" spans="1:10" customHeight="1" ht="15">
      <c r="A29" s="25"/>
      <c r="B29" s="1"/>
      <c r="C29" s="33"/>
      <c r="D29" s="25"/>
      <c r="E29" s="37"/>
      <c r="F29" s="37"/>
      <c r="G29" s="4"/>
      <c r="H29" s="4"/>
      <c r="I29" s="34"/>
      <c r="J29" s="25"/>
    </row>
    <row r="30" spans="1:10" customHeight="1" ht="15">
      <c r="A30" s="25"/>
      <c r="B30" s="8"/>
      <c r="C30" s="33"/>
      <c r="D30" s="25"/>
      <c r="E30" s="37"/>
      <c r="F30" s="37"/>
      <c r="G30" s="4"/>
      <c r="H30" s="4"/>
      <c r="I30" s="34"/>
      <c r="J30" s="25"/>
    </row>
    <row r="31" spans="1:10" customHeight="1" ht="15">
      <c r="A31" s="25"/>
      <c r="B31" s="1"/>
      <c r="C31" s="33"/>
      <c r="D31" s="25"/>
      <c r="E31" s="37"/>
      <c r="F31" s="37"/>
      <c r="G31" s="4"/>
      <c r="H31" s="4"/>
      <c r="I31" s="34"/>
      <c r="J31" s="25"/>
    </row>
    <row r="32" spans="1:10" customHeight="1" ht="15">
      <c r="A32" s="25"/>
      <c r="B32" s="1"/>
      <c r="C32" s="33"/>
      <c r="D32" s="25"/>
      <c r="E32" s="37"/>
      <c r="F32" s="37"/>
      <c r="G32" s="4"/>
      <c r="H32" s="4"/>
      <c r="I32" s="34"/>
      <c r="J32" s="25"/>
    </row>
    <row r="33" spans="1:10" customHeight="1" ht="15">
      <c r="A33" s="25"/>
      <c r="B33" s="1"/>
      <c r="C33" s="33"/>
      <c r="D33" s="25"/>
      <c r="E33" s="37"/>
      <c r="F33" s="37"/>
      <c r="G33" s="4"/>
      <c r="H33" s="4"/>
      <c r="I33" s="34"/>
      <c r="J33" s="25"/>
    </row>
  </sheetData>
  <mergeCells>
    <mergeCell ref="A1:J1"/>
    <mergeCell ref="B4:J4"/>
    <mergeCell ref="A2:J2"/>
  </mergeCells>
  <dataValidations count="1">
    <dataValidation type="list" allowBlank="1" showDropDown="0" showInputMessage="0" showErrorMessage="0" sqref="I7:I33">
      <formula1>"À faire,En cours,En revue,Terminée,Bloquée"</formula1>
      <formula2>0</formula2>
    </dataValidation>
  </dataValidations>
  <printOptions gridLines="false" gridLinesSet="true"/>
  <pageMargins left="0.7" right="0.7" top="0.75" bottom="0.75" header="0.51181102362205" footer="0.51181102362205"/>
  <pageSetup paperSize="9" orientation="portrai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pageSetUpPr fitToPage="1"/>
  </sheetPr>
  <dimension ref="A1:M32"/>
  <sheetViews>
    <sheetView tabSelected="0" workbookViewId="0" showGridLines="true" showRowColHeaders="1">
      <pane xSplit="5" ySplit="4" topLeftCell="F5" activePane="bottomRight" state="frozen"/>
      <selection pane="topRight"/>
      <selection pane="bottomLeft"/>
      <selection pane="bottomRight" activeCell="A31" sqref="A31:M31"/>
    </sheetView>
  </sheetViews>
  <sheetFormatPr defaultRowHeight="14.4" outlineLevelRow="0" outlineLevelCol="0"/>
  <cols>
    <col min="1" max="1" width="14" customWidth="true" style="0"/>
    <col min="2" max="2" width="12" customWidth="true" style="0"/>
    <col min="3" max="3" width="17" customWidth="true" style="0"/>
    <col min="4" max="4" width="30" customWidth="true" style="0"/>
    <col min="5" max="5" width="65" customWidth="true" style="0"/>
    <col min="6" max="6" width="100" customWidth="true" style="0"/>
    <col min="7" max="7" width="18" customWidth="true" style="0"/>
    <col min="8" max="8" width="12" customWidth="true" style="0"/>
    <col min="9" max="9" width="30" customWidth="true" style="0"/>
    <col min="10" max="10" width="48" customWidth="true" style="0"/>
    <col min="11" max="11" width="22" customWidth="true" style="0"/>
    <col min="12" max="12" width="35" customWidth="true" style="0"/>
    <col min="13" max="13" width="30" customWidth="true" style="0"/>
  </cols>
  <sheetData>
    <row r="1" spans="1:13" customHeight="1" ht="32">
      <c r="A1" s="52" t="s">
        <v>703</v>
      </c>
      <c r="B1" s="55"/>
      <c r="C1" s="55"/>
      <c r="D1" s="55"/>
      <c r="E1" s="55"/>
      <c r="F1" s="55"/>
      <c r="G1" s="55"/>
      <c r="H1" s="55"/>
      <c r="I1" s="55"/>
      <c r="J1" s="55"/>
      <c r="K1" s="55"/>
      <c r="L1" s="55"/>
      <c r="M1" s="55"/>
    </row>
    <row r="2" spans="1:13" customHeight="1" ht="45">
      <c r="A2" s="53" t="s">
        <v>704</v>
      </c>
      <c r="B2" s="53"/>
      <c r="C2" s="53"/>
      <c r="D2" s="53"/>
      <c r="E2" s="53"/>
      <c r="F2" s="53"/>
      <c r="G2" s="53"/>
      <c r="H2" s="53"/>
      <c r="I2" s="53"/>
      <c r="J2" s="53"/>
      <c r="K2" s="53"/>
      <c r="L2" s="53"/>
      <c r="M2" s="53"/>
    </row>
    <row r="3" spans="1:13">
      <c r="A3" s="53"/>
      <c r="B3" s="53"/>
      <c r="C3" s="53"/>
      <c r="D3" s="53"/>
      <c r="E3" s="53"/>
      <c r="F3" s="53"/>
      <c r="G3" s="53"/>
      <c r="H3" s="53"/>
      <c r="I3" s="53"/>
      <c r="J3" s="53"/>
      <c r="K3" s="53"/>
      <c r="L3" s="53"/>
      <c r="M3" s="53"/>
    </row>
    <row r="4" spans="1:13" customHeight="1" ht="32">
      <c r="A4" s="54" t="s">
        <v>117</v>
      </c>
      <c r="B4" s="54" t="s">
        <v>3</v>
      </c>
      <c r="C4" s="54" t="s">
        <v>705</v>
      </c>
      <c r="D4" s="54" t="s">
        <v>706</v>
      </c>
      <c r="E4" s="54" t="s">
        <v>477</v>
      </c>
      <c r="F4" s="54" t="s">
        <v>707</v>
      </c>
      <c r="G4" s="54" t="s">
        <v>708</v>
      </c>
      <c r="H4" s="54" t="s">
        <v>709</v>
      </c>
      <c r="I4" s="54" t="s">
        <v>710</v>
      </c>
      <c r="J4" s="54" t="s">
        <v>711</v>
      </c>
      <c r="K4" s="54" t="s">
        <v>712</v>
      </c>
      <c r="L4" s="54" t="s">
        <v>713</v>
      </c>
      <c r="M4" s="54" t="s">
        <v>127</v>
      </c>
    </row>
    <row r="5" spans="1:13" customHeight="1" ht="145">
      <c r="A5" s="56" t="s">
        <v>714</v>
      </c>
      <c r="B5" s="56" t="s">
        <v>59</v>
      </c>
      <c r="C5" s="56" t="s">
        <v>360</v>
      </c>
      <c r="D5" s="56" t="s">
        <v>715</v>
      </c>
      <c r="E5" s="56" t="s">
        <v>716</v>
      </c>
      <c r="F5" s="56" t="s">
        <v>717</v>
      </c>
      <c r="G5" s="56" t="s">
        <v>17</v>
      </c>
      <c r="H5" s="56">
        <v>5</v>
      </c>
      <c r="I5" s="56" t="s">
        <v>718</v>
      </c>
      <c r="J5" s="56" t="s">
        <v>719</v>
      </c>
      <c r="K5" s="56" t="s">
        <v>720</v>
      </c>
      <c r="L5" s="56" t="s">
        <v>721</v>
      </c>
      <c r="M5" s="56" t="s">
        <v>722</v>
      </c>
    </row>
    <row r="6" spans="1:13" customHeight="1" ht="85">
      <c r="A6" s="53" t="s">
        <v>723</v>
      </c>
      <c r="B6" s="53" t="s">
        <v>59</v>
      </c>
      <c r="C6" s="53" t="s">
        <v>360</v>
      </c>
      <c r="D6" s="53" t="s">
        <v>724</v>
      </c>
      <c r="E6" s="53" t="s">
        <v>725</v>
      </c>
      <c r="F6" s="53" t="s">
        <v>726</v>
      </c>
      <c r="G6" s="53" t="s">
        <v>17</v>
      </c>
      <c r="H6" s="53">
        <v>3</v>
      </c>
      <c r="I6" s="53" t="s">
        <v>718</v>
      </c>
      <c r="J6" s="53" t="s">
        <v>727</v>
      </c>
      <c r="K6" s="53" t="s">
        <v>728</v>
      </c>
      <c r="L6" s="53" t="s">
        <v>721</v>
      </c>
      <c r="M6" s="53" t="s">
        <v>722</v>
      </c>
    </row>
    <row r="7" spans="1:13" customHeight="1" ht="130">
      <c r="A7" s="56" t="s">
        <v>729</v>
      </c>
      <c r="B7" s="56" t="s">
        <v>59</v>
      </c>
      <c r="C7" s="56" t="s">
        <v>360</v>
      </c>
      <c r="D7" s="56" t="s">
        <v>730</v>
      </c>
      <c r="E7" s="56" t="s">
        <v>731</v>
      </c>
      <c r="F7" s="56" t="s">
        <v>732</v>
      </c>
      <c r="G7" s="56" t="s">
        <v>17</v>
      </c>
      <c r="H7" s="56">
        <v>5</v>
      </c>
      <c r="I7" s="56" t="s">
        <v>718</v>
      </c>
      <c r="J7" s="56" t="s">
        <v>733</v>
      </c>
      <c r="K7" s="56" t="s">
        <v>734</v>
      </c>
      <c r="L7" s="56" t="s">
        <v>721</v>
      </c>
      <c r="M7" s="56" t="s">
        <v>722</v>
      </c>
    </row>
    <row r="8" spans="1:13" customHeight="1" ht="85">
      <c r="A8" s="53" t="s">
        <v>359</v>
      </c>
      <c r="B8" s="53" t="s">
        <v>44</v>
      </c>
      <c r="C8" s="53" t="s">
        <v>360</v>
      </c>
      <c r="D8" s="53" t="s">
        <v>735</v>
      </c>
      <c r="E8" s="53" t="s">
        <v>736</v>
      </c>
      <c r="F8" s="53" t="s">
        <v>737</v>
      </c>
      <c r="G8" s="53" t="s">
        <v>17</v>
      </c>
      <c r="H8" s="53">
        <v>3</v>
      </c>
      <c r="I8" s="53" t="s">
        <v>718</v>
      </c>
      <c r="J8" s="53" t="s">
        <v>738</v>
      </c>
      <c r="K8" s="53" t="s">
        <v>739</v>
      </c>
      <c r="L8" s="53" t="s">
        <v>740</v>
      </c>
      <c r="M8" s="53" t="s">
        <v>722</v>
      </c>
    </row>
    <row r="9" spans="1:13" customHeight="1" ht="175">
      <c r="A9" s="56" t="s">
        <v>741</v>
      </c>
      <c r="B9" s="56" t="s">
        <v>59</v>
      </c>
      <c r="C9" s="56" t="s">
        <v>360</v>
      </c>
      <c r="D9" s="56" t="s">
        <v>742</v>
      </c>
      <c r="E9" s="56" t="s">
        <v>743</v>
      </c>
      <c r="F9" s="56" t="s">
        <v>744</v>
      </c>
      <c r="G9" s="56" t="s">
        <v>17</v>
      </c>
      <c r="H9" s="56">
        <v>8</v>
      </c>
      <c r="I9" s="56" t="s">
        <v>718</v>
      </c>
      <c r="J9" s="56" t="s">
        <v>745</v>
      </c>
      <c r="K9" s="56" t="s">
        <v>746</v>
      </c>
      <c r="L9" s="56" t="s">
        <v>721</v>
      </c>
      <c r="M9" s="56" t="s">
        <v>722</v>
      </c>
    </row>
    <row r="10" spans="1:13" customHeight="1" ht="130">
      <c r="A10" s="53" t="s">
        <v>747</v>
      </c>
      <c r="B10" s="53" t="s">
        <v>59</v>
      </c>
      <c r="C10" s="53" t="s">
        <v>360</v>
      </c>
      <c r="D10" s="53" t="s">
        <v>748</v>
      </c>
      <c r="E10" s="53" t="s">
        <v>749</v>
      </c>
      <c r="F10" s="53" t="s">
        <v>750</v>
      </c>
      <c r="G10" s="53" t="s">
        <v>17</v>
      </c>
      <c r="H10" s="53">
        <v>3</v>
      </c>
      <c r="I10" s="53" t="s">
        <v>718</v>
      </c>
      <c r="J10" s="53" t="s">
        <v>751</v>
      </c>
      <c r="K10" s="53" t="s">
        <v>752</v>
      </c>
      <c r="L10" s="53" t="s">
        <v>721</v>
      </c>
      <c r="M10" s="53" t="s">
        <v>722</v>
      </c>
    </row>
    <row r="11" spans="1:13" customHeight="1" ht="85">
      <c r="A11" s="56" t="s">
        <v>753</v>
      </c>
      <c r="B11" s="56" t="s">
        <v>80</v>
      </c>
      <c r="C11" s="56" t="s">
        <v>360</v>
      </c>
      <c r="D11" s="56" t="s">
        <v>754</v>
      </c>
      <c r="E11" s="56" t="s">
        <v>755</v>
      </c>
      <c r="F11" s="56" t="s">
        <v>756</v>
      </c>
      <c r="G11" s="56" t="s">
        <v>69</v>
      </c>
      <c r="H11" s="56">
        <v>2</v>
      </c>
      <c r="I11" s="56" t="s">
        <v>757</v>
      </c>
      <c r="J11" s="56" t="s">
        <v>758</v>
      </c>
      <c r="K11" s="56" t="s">
        <v>759</v>
      </c>
      <c r="L11" s="56" t="s">
        <v>721</v>
      </c>
      <c r="M11" s="56" t="s">
        <v>722</v>
      </c>
    </row>
    <row r="12" spans="1:13" customHeight="1" ht="130">
      <c r="A12" s="53" t="s">
        <v>760</v>
      </c>
      <c r="B12" s="53" t="s">
        <v>59</v>
      </c>
      <c r="C12" s="53" t="s">
        <v>360</v>
      </c>
      <c r="D12" s="53" t="s">
        <v>761</v>
      </c>
      <c r="E12" s="53" t="s">
        <v>762</v>
      </c>
      <c r="F12" s="53" t="s">
        <v>763</v>
      </c>
      <c r="G12" s="53" t="s">
        <v>17</v>
      </c>
      <c r="H12" s="53">
        <v>5</v>
      </c>
      <c r="I12" s="53" t="s">
        <v>757</v>
      </c>
      <c r="J12" s="53" t="s">
        <v>764</v>
      </c>
      <c r="K12" s="53" t="s">
        <v>765</v>
      </c>
      <c r="L12" s="53" t="s">
        <v>721</v>
      </c>
      <c r="M12" s="53" t="s">
        <v>722</v>
      </c>
    </row>
    <row r="13" spans="1:13" customHeight="1" ht="130">
      <c r="A13" s="56" t="s">
        <v>766</v>
      </c>
      <c r="B13" s="56" t="s">
        <v>53</v>
      </c>
      <c r="C13" s="56" t="s">
        <v>360</v>
      </c>
      <c r="D13" s="56" t="s">
        <v>767</v>
      </c>
      <c r="E13" s="56" t="s">
        <v>768</v>
      </c>
      <c r="F13" s="56" t="s">
        <v>769</v>
      </c>
      <c r="G13" s="56" t="s">
        <v>17</v>
      </c>
      <c r="H13" s="56">
        <v>8</v>
      </c>
      <c r="I13" s="56" t="s">
        <v>757</v>
      </c>
      <c r="J13" s="56" t="s">
        <v>770</v>
      </c>
      <c r="K13" s="56" t="s">
        <v>771</v>
      </c>
      <c r="L13" s="56" t="s">
        <v>721</v>
      </c>
      <c r="M13" s="56" t="s">
        <v>722</v>
      </c>
    </row>
    <row r="14" spans="1:13" customHeight="1" ht="130">
      <c r="A14" s="53" t="s">
        <v>772</v>
      </c>
      <c r="B14" s="53" t="s">
        <v>53</v>
      </c>
      <c r="C14" s="53" t="s">
        <v>360</v>
      </c>
      <c r="D14" s="53" t="s">
        <v>773</v>
      </c>
      <c r="E14" s="53" t="s">
        <v>774</v>
      </c>
      <c r="F14" s="53" t="s">
        <v>775</v>
      </c>
      <c r="G14" s="53" t="s">
        <v>17</v>
      </c>
      <c r="H14" s="53">
        <v>5</v>
      </c>
      <c r="I14" s="53" t="s">
        <v>757</v>
      </c>
      <c r="J14" s="53" t="s">
        <v>776</v>
      </c>
      <c r="K14" s="53" t="s">
        <v>771</v>
      </c>
      <c r="L14" s="53" t="s">
        <v>721</v>
      </c>
      <c r="M14" s="53" t="s">
        <v>722</v>
      </c>
    </row>
    <row r="15" spans="1:13" customHeight="1" ht="130">
      <c r="A15" s="56" t="s">
        <v>777</v>
      </c>
      <c r="B15" s="56" t="s">
        <v>53</v>
      </c>
      <c r="C15" s="56" t="s">
        <v>360</v>
      </c>
      <c r="D15" s="56" t="s">
        <v>778</v>
      </c>
      <c r="E15" s="56" t="s">
        <v>779</v>
      </c>
      <c r="F15" s="56" t="s">
        <v>780</v>
      </c>
      <c r="G15" s="56" t="s">
        <v>17</v>
      </c>
      <c r="H15" s="56">
        <v>5</v>
      </c>
      <c r="I15" s="56" t="s">
        <v>757</v>
      </c>
      <c r="J15" s="56" t="s">
        <v>781</v>
      </c>
      <c r="K15" s="56" t="s">
        <v>771</v>
      </c>
      <c r="L15" s="56" t="s">
        <v>721</v>
      </c>
      <c r="M15" s="56" t="s">
        <v>722</v>
      </c>
    </row>
    <row r="16" spans="1:13" customHeight="1" ht="115">
      <c r="A16" s="53" t="s">
        <v>782</v>
      </c>
      <c r="B16" s="53" t="s">
        <v>53</v>
      </c>
      <c r="C16" s="53" t="s">
        <v>360</v>
      </c>
      <c r="D16" s="53" t="s">
        <v>783</v>
      </c>
      <c r="E16" s="53" t="s">
        <v>784</v>
      </c>
      <c r="F16" s="53" t="s">
        <v>785</v>
      </c>
      <c r="G16" s="53" t="s">
        <v>17</v>
      </c>
      <c r="H16" s="53">
        <v>5</v>
      </c>
      <c r="I16" s="53" t="s">
        <v>757</v>
      </c>
      <c r="J16" s="53" t="s">
        <v>786</v>
      </c>
      <c r="K16" s="53" t="s">
        <v>787</v>
      </c>
      <c r="L16" s="53" t="s">
        <v>721</v>
      </c>
      <c r="M16" s="53" t="s">
        <v>722</v>
      </c>
    </row>
    <row r="17" spans="1:13" customHeight="1" ht="130">
      <c r="A17" s="56" t="s">
        <v>788</v>
      </c>
      <c r="B17" s="56" t="s">
        <v>53</v>
      </c>
      <c r="C17" s="56" t="s">
        <v>360</v>
      </c>
      <c r="D17" s="56" t="s">
        <v>789</v>
      </c>
      <c r="E17" s="56" t="s">
        <v>790</v>
      </c>
      <c r="F17" s="56" t="s">
        <v>791</v>
      </c>
      <c r="G17" s="56" t="s">
        <v>69</v>
      </c>
      <c r="H17" s="56">
        <v>3</v>
      </c>
      <c r="I17" s="56" t="s">
        <v>757</v>
      </c>
      <c r="J17" s="56" t="s">
        <v>792</v>
      </c>
      <c r="K17" s="56" t="s">
        <v>793</v>
      </c>
      <c r="L17" s="56" t="s">
        <v>721</v>
      </c>
      <c r="M17" s="56" t="s">
        <v>722</v>
      </c>
    </row>
    <row r="18" spans="1:13" customHeight="1" ht="115">
      <c r="A18" s="53" t="s">
        <v>794</v>
      </c>
      <c r="B18" s="53" t="s">
        <v>59</v>
      </c>
      <c r="C18" s="53" t="s">
        <v>360</v>
      </c>
      <c r="D18" s="53" t="s">
        <v>795</v>
      </c>
      <c r="E18" s="53" t="s">
        <v>796</v>
      </c>
      <c r="F18" s="53" t="s">
        <v>797</v>
      </c>
      <c r="G18" s="53" t="s">
        <v>69</v>
      </c>
      <c r="H18" s="53">
        <v>3</v>
      </c>
      <c r="I18" s="53" t="s">
        <v>757</v>
      </c>
      <c r="J18" s="53" t="s">
        <v>798</v>
      </c>
      <c r="K18" s="53" t="s">
        <v>799</v>
      </c>
      <c r="L18" s="53" t="s">
        <v>721</v>
      </c>
      <c r="M18" s="53" t="s">
        <v>722</v>
      </c>
    </row>
    <row r="19" spans="1:13" customHeight="1" ht="130">
      <c r="A19" s="56" t="s">
        <v>800</v>
      </c>
      <c r="B19" s="56" t="s">
        <v>59</v>
      </c>
      <c r="C19" s="56" t="s">
        <v>360</v>
      </c>
      <c r="D19" s="56" t="s">
        <v>801</v>
      </c>
      <c r="E19" s="56" t="s">
        <v>802</v>
      </c>
      <c r="F19" s="56" t="s">
        <v>803</v>
      </c>
      <c r="G19" s="56" t="s">
        <v>17</v>
      </c>
      <c r="H19" s="56">
        <v>5</v>
      </c>
      <c r="I19" s="56" t="s">
        <v>757</v>
      </c>
      <c r="J19" s="56" t="s">
        <v>804</v>
      </c>
      <c r="K19" s="56" t="s">
        <v>805</v>
      </c>
      <c r="L19" s="56" t="s">
        <v>721</v>
      </c>
      <c r="M19" s="56" t="s">
        <v>722</v>
      </c>
    </row>
    <row r="20" spans="1:13" customHeight="1" ht="85">
      <c r="A20" s="53" t="s">
        <v>806</v>
      </c>
      <c r="B20" s="53" t="s">
        <v>59</v>
      </c>
      <c r="C20" s="53" t="s">
        <v>360</v>
      </c>
      <c r="D20" s="53" t="s">
        <v>807</v>
      </c>
      <c r="E20" s="53" t="s">
        <v>808</v>
      </c>
      <c r="F20" s="53" t="s">
        <v>809</v>
      </c>
      <c r="G20" s="53" t="s">
        <v>69</v>
      </c>
      <c r="H20" s="53">
        <v>5</v>
      </c>
      <c r="I20" s="53" t="s">
        <v>757</v>
      </c>
      <c r="J20" s="53" t="s">
        <v>800</v>
      </c>
      <c r="K20" s="53" t="s">
        <v>810</v>
      </c>
      <c r="L20" s="53" t="s">
        <v>721</v>
      </c>
      <c r="M20" s="53" t="s">
        <v>722</v>
      </c>
    </row>
    <row r="21" spans="1:13" customHeight="1" ht="115">
      <c r="A21" s="56" t="s">
        <v>811</v>
      </c>
      <c r="B21" s="56" t="s">
        <v>59</v>
      </c>
      <c r="C21" s="56" t="s">
        <v>360</v>
      </c>
      <c r="D21" s="56" t="s">
        <v>812</v>
      </c>
      <c r="E21" s="56" t="s">
        <v>813</v>
      </c>
      <c r="F21" s="56" t="s">
        <v>814</v>
      </c>
      <c r="G21" s="56" t="s">
        <v>69</v>
      </c>
      <c r="H21" s="56">
        <v>5</v>
      </c>
      <c r="I21" s="56" t="s">
        <v>757</v>
      </c>
      <c r="J21" s="56" t="s">
        <v>806</v>
      </c>
      <c r="K21" s="56" t="s">
        <v>815</v>
      </c>
      <c r="L21" s="56" t="s">
        <v>721</v>
      </c>
      <c r="M21" s="56" t="s">
        <v>722</v>
      </c>
    </row>
    <row r="22" spans="1:13" customHeight="1" ht="115">
      <c r="A22" s="53" t="s">
        <v>370</v>
      </c>
      <c r="B22" s="53" t="s">
        <v>48</v>
      </c>
      <c r="C22" s="53" t="s">
        <v>348</v>
      </c>
      <c r="D22" s="53" t="s">
        <v>816</v>
      </c>
      <c r="E22" s="53" t="s">
        <v>817</v>
      </c>
      <c r="F22" s="53" t="s">
        <v>818</v>
      </c>
      <c r="G22" s="53" t="s">
        <v>17</v>
      </c>
      <c r="H22" s="53">
        <v>3</v>
      </c>
      <c r="I22" s="53" t="s">
        <v>718</v>
      </c>
      <c r="J22" s="53" t="s">
        <v>819</v>
      </c>
      <c r="K22" s="53" t="s">
        <v>820</v>
      </c>
      <c r="L22" s="53" t="s">
        <v>740</v>
      </c>
      <c r="M22" s="53" t="s">
        <v>722</v>
      </c>
    </row>
    <row r="23" spans="1:13" customHeight="1" ht="130">
      <c r="A23" s="56" t="s">
        <v>374</v>
      </c>
      <c r="B23" s="56" t="s">
        <v>48</v>
      </c>
      <c r="C23" s="56" t="s">
        <v>348</v>
      </c>
      <c r="D23" s="56" t="s">
        <v>821</v>
      </c>
      <c r="E23" s="56" t="s">
        <v>822</v>
      </c>
      <c r="F23" s="56" t="s">
        <v>823</v>
      </c>
      <c r="G23" s="56" t="s">
        <v>17</v>
      </c>
      <c r="H23" s="56">
        <v>3</v>
      </c>
      <c r="I23" s="56" t="s">
        <v>718</v>
      </c>
      <c r="J23" s="56" t="s">
        <v>824</v>
      </c>
      <c r="K23" s="56" t="s">
        <v>825</v>
      </c>
      <c r="L23" s="56" t="s">
        <v>740</v>
      </c>
      <c r="M23" s="56" t="s">
        <v>722</v>
      </c>
    </row>
    <row r="24" spans="1:13" customHeight="1" ht="130">
      <c r="A24" s="53" t="s">
        <v>377</v>
      </c>
      <c r="B24" s="53" t="s">
        <v>48</v>
      </c>
      <c r="C24" s="53" t="s">
        <v>348</v>
      </c>
      <c r="D24" s="53" t="s">
        <v>826</v>
      </c>
      <c r="E24" s="53" t="s">
        <v>827</v>
      </c>
      <c r="F24" s="53" t="s">
        <v>828</v>
      </c>
      <c r="G24" s="53" t="s">
        <v>17</v>
      </c>
      <c r="H24" s="53">
        <v>3</v>
      </c>
      <c r="I24" s="53" t="s">
        <v>718</v>
      </c>
      <c r="J24" s="53" t="s">
        <v>829</v>
      </c>
      <c r="K24" s="53" t="s">
        <v>830</v>
      </c>
      <c r="L24" s="53" t="s">
        <v>740</v>
      </c>
      <c r="M24" s="53" t="s">
        <v>722</v>
      </c>
    </row>
    <row r="25" spans="1:13" customHeight="1" ht="130">
      <c r="A25" s="56" t="s">
        <v>347</v>
      </c>
      <c r="B25" s="56" t="s">
        <v>44</v>
      </c>
      <c r="C25" s="56" t="s">
        <v>348</v>
      </c>
      <c r="D25" s="56" t="s">
        <v>831</v>
      </c>
      <c r="E25" s="56" t="s">
        <v>832</v>
      </c>
      <c r="F25" s="56" t="s">
        <v>833</v>
      </c>
      <c r="G25" s="56" t="s">
        <v>17</v>
      </c>
      <c r="H25" s="56">
        <v>3</v>
      </c>
      <c r="I25" s="56" t="s">
        <v>718</v>
      </c>
      <c r="J25" s="56" t="s">
        <v>834</v>
      </c>
      <c r="K25" s="56" t="s">
        <v>835</v>
      </c>
      <c r="L25" s="56" t="s">
        <v>740</v>
      </c>
      <c r="M25" s="56" t="s">
        <v>722</v>
      </c>
    </row>
    <row r="26" spans="1:13" customHeight="1" ht="130">
      <c r="A26" s="53" t="s">
        <v>836</v>
      </c>
      <c r="B26" s="53" t="s">
        <v>48</v>
      </c>
      <c r="C26" s="53" t="s">
        <v>348</v>
      </c>
      <c r="D26" s="53" t="s">
        <v>837</v>
      </c>
      <c r="E26" s="53" t="s">
        <v>838</v>
      </c>
      <c r="F26" s="53" t="s">
        <v>839</v>
      </c>
      <c r="G26" s="53" t="s">
        <v>69</v>
      </c>
      <c r="H26" s="53">
        <v>5</v>
      </c>
      <c r="I26" s="53" t="s">
        <v>757</v>
      </c>
      <c r="J26" s="53" t="s">
        <v>840</v>
      </c>
      <c r="K26" s="53" t="s">
        <v>841</v>
      </c>
      <c r="L26" s="53" t="s">
        <v>721</v>
      </c>
      <c r="M26" s="53" t="s">
        <v>722</v>
      </c>
    </row>
    <row r="27" spans="1:13" customHeight="1" ht="130">
      <c r="A27" s="56" t="s">
        <v>842</v>
      </c>
      <c r="B27" s="56" t="s">
        <v>59</v>
      </c>
      <c r="C27" s="56" t="s">
        <v>348</v>
      </c>
      <c r="D27" s="56" t="s">
        <v>843</v>
      </c>
      <c r="E27" s="56" t="s">
        <v>844</v>
      </c>
      <c r="F27" s="56" t="s">
        <v>845</v>
      </c>
      <c r="G27" s="56" t="s">
        <v>17</v>
      </c>
      <c r="H27" s="56">
        <v>3</v>
      </c>
      <c r="I27" s="56" t="s">
        <v>718</v>
      </c>
      <c r="J27" s="56" t="s">
        <v>846</v>
      </c>
      <c r="K27" s="56" t="s">
        <v>847</v>
      </c>
      <c r="L27" s="56" t="s">
        <v>721</v>
      </c>
      <c r="M27" s="56" t="s">
        <v>722</v>
      </c>
    </row>
    <row r="28" spans="1:13" customHeight="1" ht="130">
      <c r="A28" s="53" t="s">
        <v>848</v>
      </c>
      <c r="B28" s="53" t="s">
        <v>53</v>
      </c>
      <c r="C28" s="53" t="s">
        <v>348</v>
      </c>
      <c r="D28" s="53" t="s">
        <v>849</v>
      </c>
      <c r="E28" s="53" t="s">
        <v>850</v>
      </c>
      <c r="F28" s="53" t="s">
        <v>851</v>
      </c>
      <c r="G28" s="53" t="s">
        <v>17</v>
      </c>
      <c r="H28" s="53">
        <v>5</v>
      </c>
      <c r="I28" s="53" t="s">
        <v>757</v>
      </c>
      <c r="J28" s="53" t="s">
        <v>852</v>
      </c>
      <c r="K28" s="53" t="s">
        <v>853</v>
      </c>
      <c r="L28" s="53" t="s">
        <v>721</v>
      </c>
      <c r="M28" s="53" t="s">
        <v>722</v>
      </c>
    </row>
    <row r="29" spans="1:13" customHeight="1" ht="130">
      <c r="A29" s="56" t="s">
        <v>854</v>
      </c>
      <c r="B29" s="56" t="s">
        <v>36</v>
      </c>
      <c r="C29" s="56" t="s">
        <v>348</v>
      </c>
      <c r="D29" s="56" t="s">
        <v>855</v>
      </c>
      <c r="E29" s="56" t="s">
        <v>856</v>
      </c>
      <c r="F29" s="56" t="s">
        <v>857</v>
      </c>
      <c r="G29" s="56" t="s">
        <v>17</v>
      </c>
      <c r="H29" s="56">
        <v>5</v>
      </c>
      <c r="I29" s="56" t="s">
        <v>757</v>
      </c>
      <c r="J29" s="56" t="s">
        <v>858</v>
      </c>
      <c r="K29" s="56" t="s">
        <v>859</v>
      </c>
      <c r="L29" s="56" t="s">
        <v>721</v>
      </c>
      <c r="M29" s="56" t="s">
        <v>722</v>
      </c>
    </row>
    <row r="30" spans="1:13" customHeight="1" ht="130">
      <c r="A30" s="53" t="s">
        <v>860</v>
      </c>
      <c r="B30" s="53" t="s">
        <v>75</v>
      </c>
      <c r="C30" s="53" t="s">
        <v>348</v>
      </c>
      <c r="D30" s="53" t="s">
        <v>861</v>
      </c>
      <c r="E30" s="53" t="s">
        <v>862</v>
      </c>
      <c r="F30" s="53" t="s">
        <v>863</v>
      </c>
      <c r="G30" s="53" t="s">
        <v>17</v>
      </c>
      <c r="H30" s="53">
        <v>8</v>
      </c>
      <c r="I30" s="53" t="s">
        <v>757</v>
      </c>
      <c r="J30" s="53" t="s">
        <v>864</v>
      </c>
      <c r="K30" s="53" t="s">
        <v>859</v>
      </c>
      <c r="L30" s="53" t="s">
        <v>721</v>
      </c>
      <c r="M30" s="53" t="s">
        <v>722</v>
      </c>
    </row>
    <row r="31" spans="1:13" customHeight="1" ht="130">
      <c r="A31" s="56" t="s">
        <v>865</v>
      </c>
      <c r="B31" s="56" t="s">
        <v>75</v>
      </c>
      <c r="C31" s="56" t="s">
        <v>348</v>
      </c>
      <c r="D31" s="56" t="s">
        <v>866</v>
      </c>
      <c r="E31" s="56" t="s">
        <v>867</v>
      </c>
      <c r="F31" s="56" t="s">
        <v>868</v>
      </c>
      <c r="G31" s="56" t="s">
        <v>69</v>
      </c>
      <c r="H31" s="56">
        <v>5</v>
      </c>
      <c r="I31" s="56" t="s">
        <v>757</v>
      </c>
      <c r="J31" s="56" t="s">
        <v>869</v>
      </c>
      <c r="K31" s="56" t="s">
        <v>870</v>
      </c>
      <c r="L31" s="56" t="s">
        <v>721</v>
      </c>
      <c r="M31" s="56" t="s">
        <v>722</v>
      </c>
    </row>
    <row r="32" spans="1:13" customHeight="1" ht="130">
      <c r="A32" s="53" t="s">
        <v>871</v>
      </c>
      <c r="B32" s="53" t="s">
        <v>59</v>
      </c>
      <c r="C32" s="53" t="s">
        <v>348</v>
      </c>
      <c r="D32" s="53" t="s">
        <v>872</v>
      </c>
      <c r="E32" s="53" t="s">
        <v>873</v>
      </c>
      <c r="F32" s="53" t="s">
        <v>874</v>
      </c>
      <c r="G32" s="53" t="s">
        <v>17</v>
      </c>
      <c r="H32" s="53">
        <v>5</v>
      </c>
      <c r="I32" s="53" t="s">
        <v>757</v>
      </c>
      <c r="J32" s="53" t="s">
        <v>875</v>
      </c>
      <c r="K32" s="53" t="s">
        <v>876</v>
      </c>
      <c r="L32" s="53" t="s">
        <v>721</v>
      </c>
      <c r="M32" s="53" t="s">
        <v>722</v>
      </c>
    </row>
  </sheetData>
  <autoFilter ref="A4:M32"/>
  <mergeCells>
    <mergeCell ref="A1:M1"/>
    <mergeCell ref="A2:M2"/>
  </mergeCells>
  <printOptions gridLines="false" gridLinesSet="true"/>
  <pageMargins left="0.7" right="0.7" top="0.75" bottom="0.75" header="0.3" footer="0.3"/>
  <pageSetup paperSize="8" orientation="landscape" scale="100" fitToHeight="0" fitToWidth="1" pageOrder="downThenOver"/>
  <headerFooter differentOddEven="false" differentFirst="false" scaleWithDoc="true" alignWithMargins="true">
    <oddHeader/>
    <oddFooter/>
    <evenHeader/>
    <evenFooter/>
    <firstHeader/>
    <firstFooter/>
  </headerFooter>
  <tableParts count="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pageSetUpPr fitToPage="1"/>
  </sheetPr>
  <dimension ref="A1:C19"/>
  <sheetViews>
    <sheetView tabSelected="1" workbookViewId="0" showGridLines="true" showRowColHeaders="1">
      <pane xSplit="5" ySplit="4" topLeftCell="F5" activePane="bottomRight" state="frozen"/>
      <selection pane="topRight"/>
      <selection pane="bottomLeft"/>
      <selection pane="bottomRight" activeCell="A19" sqref="A19:C19"/>
    </sheetView>
  </sheetViews>
  <sheetFormatPr defaultRowHeight="14.4" outlineLevelRow="0" outlineLevelCol="0"/>
  <cols>
    <col min="1" max="1" width="30" customWidth="true" style="0"/>
    <col min="2" max="2" width="100" customWidth="true" style="0"/>
    <col min="3" max="3" width="105" customWidth="true" style="0"/>
  </cols>
  <sheetData>
    <row r="1" spans="1:3" customHeight="1" ht="32">
      <c r="A1" s="52" t="s">
        <v>877</v>
      </c>
      <c r="B1" s="55"/>
      <c r="C1" s="55"/>
    </row>
    <row r="2" spans="1:3" customHeight="1" ht="45">
      <c r="A2" s="53" t="s">
        <v>878</v>
      </c>
      <c r="B2" s="53"/>
      <c r="C2" s="53"/>
    </row>
    <row r="3" spans="1:3">
      <c r="A3" s="53"/>
      <c r="B3" s="53"/>
      <c r="C3" s="53"/>
    </row>
    <row r="4" spans="1:3" customHeight="1" ht="32">
      <c r="A4" s="54" t="s">
        <v>879</v>
      </c>
      <c r="B4" s="54" t="s">
        <v>880</v>
      </c>
      <c r="C4" s="54" t="s">
        <v>881</v>
      </c>
    </row>
    <row r="5" spans="1:3" customHeight="1" ht="55">
      <c r="A5" s="56" t="s">
        <v>882</v>
      </c>
      <c r="B5" s="56" t="s">
        <v>472</v>
      </c>
      <c r="C5" s="56" t="s">
        <v>883</v>
      </c>
    </row>
    <row r="6" spans="1:3" customHeight="1" ht="40">
      <c r="A6" s="53" t="s">
        <v>884</v>
      </c>
      <c r="B6" s="53" t="s">
        <v>885</v>
      </c>
      <c r="C6" s="53" t="s">
        <v>886</v>
      </c>
    </row>
    <row r="7" spans="1:3" customHeight="1" ht="35">
      <c r="A7" s="56" t="s">
        <v>887</v>
      </c>
      <c r="B7" s="56" t="s">
        <v>888</v>
      </c>
      <c r="C7" s="56" t="s">
        <v>889</v>
      </c>
    </row>
    <row r="8" spans="1:3" customHeight="1" ht="35">
      <c r="A8" s="53" t="s">
        <v>890</v>
      </c>
      <c r="B8" s="53" t="s">
        <v>891</v>
      </c>
      <c r="C8" s="53" t="s">
        <v>892</v>
      </c>
    </row>
    <row r="9" spans="1:3" customHeight="1" ht="35">
      <c r="A9" s="56" t="s">
        <v>893</v>
      </c>
      <c r="B9" s="56" t="s">
        <v>894</v>
      </c>
      <c r="C9" s="56" t="s">
        <v>895</v>
      </c>
    </row>
    <row r="10" spans="1:3" customHeight="1" ht="40">
      <c r="A10" s="53" t="s">
        <v>896</v>
      </c>
      <c r="B10" s="53" t="s">
        <v>897</v>
      </c>
      <c r="C10" s="53" t="s">
        <v>898</v>
      </c>
    </row>
    <row r="11" spans="1:3" customHeight="1" ht="40">
      <c r="A11" s="56" t="s">
        <v>899</v>
      </c>
      <c r="B11" s="56" t="s">
        <v>900</v>
      </c>
      <c r="C11" s="56" t="s">
        <v>901</v>
      </c>
    </row>
    <row r="12" spans="1:3" customHeight="1" ht="40">
      <c r="A12" s="53" t="s">
        <v>902</v>
      </c>
      <c r="B12" s="53" t="s">
        <v>903</v>
      </c>
      <c r="C12" s="53" t="s">
        <v>904</v>
      </c>
    </row>
    <row r="13" spans="1:3" customHeight="1" ht="40">
      <c r="A13" s="56" t="s">
        <v>905</v>
      </c>
      <c r="B13" s="56" t="s">
        <v>906</v>
      </c>
      <c r="C13" s="56" t="s">
        <v>907</v>
      </c>
    </row>
    <row r="14" spans="1:3" customHeight="1" ht="40">
      <c r="A14" s="53" t="s">
        <v>908</v>
      </c>
      <c r="B14" s="53" t="s">
        <v>909</v>
      </c>
      <c r="C14" s="53" t="s">
        <v>910</v>
      </c>
    </row>
    <row r="15" spans="1:3" customHeight="1" ht="40">
      <c r="A15" s="56" t="s">
        <v>911</v>
      </c>
      <c r="B15" s="56" t="s">
        <v>912</v>
      </c>
      <c r="C15" s="56" t="s">
        <v>913</v>
      </c>
    </row>
    <row r="16" spans="1:3" customHeight="1" ht="40">
      <c r="A16" s="53" t="s">
        <v>914</v>
      </c>
      <c r="B16" s="53" t="s">
        <v>915</v>
      </c>
      <c r="C16" s="53" t="s">
        <v>916</v>
      </c>
    </row>
    <row r="17" spans="1:3" customHeight="1" ht="40">
      <c r="A17" s="56" t="s">
        <v>259</v>
      </c>
      <c r="B17" s="56" t="s">
        <v>917</v>
      </c>
      <c r="C17" s="56" t="s">
        <v>918</v>
      </c>
    </row>
    <row r="18" spans="1:3" customHeight="1" ht="40">
      <c r="A18" s="53" t="s">
        <v>919</v>
      </c>
      <c r="B18" s="53" t="s">
        <v>920</v>
      </c>
      <c r="C18" s="53" t="s">
        <v>921</v>
      </c>
    </row>
    <row r="19" spans="1:3" customHeight="1" ht="40">
      <c r="A19" s="56" t="s">
        <v>922</v>
      </c>
      <c r="B19" s="56" t="s">
        <v>923</v>
      </c>
      <c r="C19" s="56" t="s">
        <v>924</v>
      </c>
    </row>
  </sheetData>
  <autoFilter ref="A4:C19"/>
  <mergeCells>
    <mergeCell ref="A1:C1"/>
    <mergeCell ref="A2:C2"/>
  </mergeCells>
  <printOptions gridLines="false" gridLinesSet="true"/>
  <pageMargins left="0.7" right="0.7" top="0.75" bottom="0.75" header="0.3" footer="0.3"/>
  <pageSetup paperSize="8" orientation="landscape" scale="100" fitToHeight="0" fitToWidth="1" pageOrder="downThenOver"/>
  <headerFooter differentOddEven="false" differentFirst="false" scaleWithDoc="true" alignWithMargins="true">
    <oddHeader/>
    <oddFooter/>
    <evenHeader/>
    <evenFooter/>
    <firstHeader/>
    <firstFooter/>
  </headerFooter>
  <tableParts count="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pageSetUpPr fitToPage="1"/>
  </sheetPr>
  <dimension ref="A1:H15"/>
  <sheetViews>
    <sheetView tabSelected="0" workbookViewId="0" showGridLines="true" showRowColHeaders="1">
      <pane xSplit="5" ySplit="4" topLeftCell="F5" activePane="bottomRight" state="frozen"/>
      <selection pane="topRight"/>
      <selection pane="bottomLeft"/>
      <selection pane="bottomRight" activeCell="A15" sqref="A15:H15"/>
    </sheetView>
  </sheetViews>
  <sheetFormatPr defaultRowHeight="14.4" outlineLevelRow="0" outlineLevelCol="0"/>
  <cols>
    <col min="1" max="1" width="14" customWidth="true" style="0"/>
    <col min="2" max="2" width="18" customWidth="true" style="0"/>
    <col min="3" max="3" width="45" customWidth="true" style="0"/>
    <col min="4" max="4" width="15" customWidth="true" style="0"/>
    <col min="5" max="5" width="17" customWidth="true" style="0"/>
    <col min="6" max="6" width="15" customWidth="true" style="0"/>
    <col min="7" max="7" width="75" customWidth="true" style="0"/>
    <col min="8" max="8" width="20" customWidth="true" style="0"/>
  </cols>
  <sheetData>
    <row r="1" spans="1:8" customHeight="1" ht="32">
      <c r="A1" s="52" t="s">
        <v>925</v>
      </c>
      <c r="B1" s="55"/>
      <c r="C1" s="55"/>
      <c r="D1" s="55"/>
      <c r="E1" s="55"/>
      <c r="F1" s="55"/>
      <c r="G1" s="55"/>
      <c r="H1" s="55"/>
    </row>
    <row r="2" spans="1:8" customHeight="1" ht="45">
      <c r="A2" s="53" t="s">
        <v>472</v>
      </c>
      <c r="B2" s="53"/>
      <c r="C2" s="53"/>
      <c r="D2" s="53"/>
      <c r="E2" s="53"/>
      <c r="F2" s="53"/>
      <c r="G2" s="53"/>
      <c r="H2" s="53"/>
    </row>
    <row r="3" spans="1:8">
      <c r="A3" s="53"/>
      <c r="B3" s="53"/>
      <c r="C3" s="53"/>
      <c r="D3" s="53"/>
      <c r="E3" s="53"/>
      <c r="F3" s="53"/>
      <c r="G3" s="53"/>
      <c r="H3" s="53"/>
    </row>
    <row r="4" spans="1:8" customHeight="1" ht="32">
      <c r="A4" s="54" t="s">
        <v>926</v>
      </c>
      <c r="B4" s="54" t="s">
        <v>705</v>
      </c>
      <c r="C4" s="54" t="s">
        <v>927</v>
      </c>
      <c r="D4" s="54" t="s">
        <v>709</v>
      </c>
      <c r="E4" s="54" t="s">
        <v>928</v>
      </c>
      <c r="F4" s="54" t="s">
        <v>929</v>
      </c>
      <c r="G4" s="54" t="s">
        <v>711</v>
      </c>
      <c r="H4" s="54" t="s">
        <v>127</v>
      </c>
    </row>
    <row r="5" spans="1:8" customHeight="1" ht="35">
      <c r="A5" s="56" t="s">
        <v>714</v>
      </c>
      <c r="B5" s="56" t="s">
        <v>360</v>
      </c>
      <c r="C5" s="56" t="s">
        <v>715</v>
      </c>
      <c r="D5" s="56">
        <v>5</v>
      </c>
      <c r="E5" s="56">
        <v>6</v>
      </c>
      <c r="F5" s="56">
        <v>8</v>
      </c>
      <c r="G5" s="56" t="s">
        <v>719</v>
      </c>
      <c r="H5" s="56" t="s">
        <v>137</v>
      </c>
    </row>
    <row r="6" spans="1:8" customHeight="1" ht="35">
      <c r="A6" s="53" t="s">
        <v>723</v>
      </c>
      <c r="B6" s="53" t="s">
        <v>360</v>
      </c>
      <c r="C6" s="53" t="s">
        <v>724</v>
      </c>
      <c r="D6" s="53">
        <v>3</v>
      </c>
      <c r="E6" s="53">
        <v>4</v>
      </c>
      <c r="F6" s="53">
        <v>4</v>
      </c>
      <c r="G6" s="53" t="s">
        <v>727</v>
      </c>
      <c r="H6" s="53" t="s">
        <v>137</v>
      </c>
    </row>
    <row r="7" spans="1:8" customHeight="1" ht="35">
      <c r="A7" s="56" t="s">
        <v>729</v>
      </c>
      <c r="B7" s="56" t="s">
        <v>360</v>
      </c>
      <c r="C7" s="56" t="s">
        <v>730</v>
      </c>
      <c r="D7" s="56">
        <v>5</v>
      </c>
      <c r="E7" s="56">
        <v>6</v>
      </c>
      <c r="F7" s="56">
        <v>8</v>
      </c>
      <c r="G7" s="56" t="s">
        <v>733</v>
      </c>
      <c r="H7" s="56" t="s">
        <v>137</v>
      </c>
    </row>
    <row r="8" spans="1:8" customHeight="1" ht="35">
      <c r="A8" s="53" t="s">
        <v>359</v>
      </c>
      <c r="B8" s="53" t="s">
        <v>360</v>
      </c>
      <c r="C8" s="53" t="s">
        <v>735</v>
      </c>
      <c r="D8" s="53">
        <v>3</v>
      </c>
      <c r="E8" s="53">
        <v>2</v>
      </c>
      <c r="F8" s="53">
        <v>4</v>
      </c>
      <c r="G8" s="53" t="s">
        <v>738</v>
      </c>
      <c r="H8" s="53" t="s">
        <v>137</v>
      </c>
    </row>
    <row r="9" spans="1:8" customHeight="1" ht="35">
      <c r="A9" s="56" t="s">
        <v>741</v>
      </c>
      <c r="B9" s="56" t="s">
        <v>360</v>
      </c>
      <c r="C9" s="56" t="s">
        <v>742</v>
      </c>
      <c r="D9" s="56">
        <v>8</v>
      </c>
      <c r="E9" s="56">
        <v>4</v>
      </c>
      <c r="F9" s="56">
        <v>8</v>
      </c>
      <c r="G9" s="56" t="s">
        <v>745</v>
      </c>
      <c r="H9" s="56" t="s">
        <v>137</v>
      </c>
    </row>
    <row r="10" spans="1:8" customHeight="1" ht="35">
      <c r="A10" s="53" t="s">
        <v>747</v>
      </c>
      <c r="B10" s="53" t="s">
        <v>360</v>
      </c>
      <c r="C10" s="53" t="s">
        <v>748</v>
      </c>
      <c r="D10" s="53">
        <v>3</v>
      </c>
      <c r="E10" s="53">
        <v>4</v>
      </c>
      <c r="F10" s="53">
        <v>4</v>
      </c>
      <c r="G10" s="53" t="s">
        <v>751</v>
      </c>
      <c r="H10" s="53" t="s">
        <v>137</v>
      </c>
    </row>
    <row r="11" spans="1:8" customHeight="1" ht="35">
      <c r="A11" s="56" t="s">
        <v>370</v>
      </c>
      <c r="B11" s="56" t="s">
        <v>348</v>
      </c>
      <c r="C11" s="56" t="s">
        <v>816</v>
      </c>
      <c r="D11" s="56">
        <v>3</v>
      </c>
      <c r="E11" s="56">
        <v>4</v>
      </c>
      <c r="F11" s="56">
        <v>4</v>
      </c>
      <c r="G11" s="56" t="s">
        <v>819</v>
      </c>
      <c r="H11" s="56" t="s">
        <v>137</v>
      </c>
    </row>
    <row r="12" spans="1:8" customHeight="1" ht="35">
      <c r="A12" s="53" t="s">
        <v>374</v>
      </c>
      <c r="B12" s="53" t="s">
        <v>348</v>
      </c>
      <c r="C12" s="53" t="s">
        <v>821</v>
      </c>
      <c r="D12" s="53">
        <v>3</v>
      </c>
      <c r="E12" s="53">
        <v>4</v>
      </c>
      <c r="F12" s="53">
        <v>4</v>
      </c>
      <c r="G12" s="53" t="s">
        <v>824</v>
      </c>
      <c r="H12" s="53" t="s">
        <v>137</v>
      </c>
    </row>
    <row r="13" spans="1:8" customHeight="1" ht="35">
      <c r="A13" s="56" t="s">
        <v>377</v>
      </c>
      <c r="B13" s="56" t="s">
        <v>348</v>
      </c>
      <c r="C13" s="56" t="s">
        <v>826</v>
      </c>
      <c r="D13" s="56">
        <v>3</v>
      </c>
      <c r="E13" s="56">
        <v>3</v>
      </c>
      <c r="F13" s="56">
        <v>4</v>
      </c>
      <c r="G13" s="56" t="s">
        <v>829</v>
      </c>
      <c r="H13" s="56" t="s">
        <v>137</v>
      </c>
    </row>
    <row r="14" spans="1:8" customHeight="1" ht="35">
      <c r="A14" s="53" t="s">
        <v>347</v>
      </c>
      <c r="B14" s="53" t="s">
        <v>348</v>
      </c>
      <c r="C14" s="53" t="s">
        <v>831</v>
      </c>
      <c r="D14" s="53">
        <v>3</v>
      </c>
      <c r="E14" s="53">
        <v>3</v>
      </c>
      <c r="F14" s="53">
        <v>4</v>
      </c>
      <c r="G14" s="53" t="s">
        <v>834</v>
      </c>
      <c r="H14" s="53" t="s">
        <v>137</v>
      </c>
    </row>
    <row r="15" spans="1:8" customHeight="1" ht="35">
      <c r="A15" s="56" t="s">
        <v>842</v>
      </c>
      <c r="B15" s="56" t="s">
        <v>348</v>
      </c>
      <c r="C15" s="56" t="s">
        <v>843</v>
      </c>
      <c r="D15" s="56">
        <v>3</v>
      </c>
      <c r="E15" s="56">
        <v>3</v>
      </c>
      <c r="F15" s="56">
        <v>4</v>
      </c>
      <c r="G15" s="56" t="s">
        <v>846</v>
      </c>
      <c r="H15" s="56" t="s">
        <v>137</v>
      </c>
    </row>
  </sheetData>
  <autoFilter ref="A4:H15"/>
  <mergeCells>
    <mergeCell ref="A1:H1"/>
    <mergeCell ref="A2:H2"/>
  </mergeCells>
  <printOptions gridLines="false" gridLinesSet="true"/>
  <pageMargins left="0.7" right="0.7" top="0.75" bottom="0.75" header="0.3" footer="0.3"/>
  <pageSetup paperSize="8" orientation="landscape" scale="100" fitToHeight="0" fitToWidth="1" pageOrder="downThenOver"/>
  <headerFooter differentOddEven="false" differentFirst="false" scaleWithDoc="true" alignWithMargins="true">
    <oddHeader/>
    <oddFooter/>
    <evenHeader/>
    <evenFooter/>
    <firstHeader/>
    <firstFooter/>
  </headerFooter>
  <tableParts count="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pageSetUpPr fitToPage="1"/>
  </sheetPr>
  <dimension ref="A1:K17"/>
  <sheetViews>
    <sheetView tabSelected="0" workbookViewId="0" showGridLines="true" showRowColHeaders="1">
      <pane xSplit="5" ySplit="4" topLeftCell="F5" activePane="bottomRight" state="frozen"/>
      <selection pane="topRight"/>
      <selection pane="bottomLeft"/>
      <selection pane="bottomRight" activeCell="A17" sqref="A17:K17"/>
    </sheetView>
  </sheetViews>
  <sheetFormatPr defaultRowHeight="14.4" outlineLevelRow="0" outlineLevelCol="0"/>
  <cols>
    <col min="1" max="1" width="16" customWidth="true" style="0"/>
    <col min="2" max="2" width="15" customWidth="true" style="0"/>
    <col min="3" max="3" width="22" customWidth="true" style="0"/>
    <col min="4" max="4" width="85" customWidth="true" style="0"/>
    <col min="5" max="5" width="28" customWidth="true" style="0"/>
    <col min="6" max="6" width="17" customWidth="true" style="0"/>
    <col min="7" max="7" width="17" customWidth="true" style="0"/>
    <col min="8" max="8" width="17" customWidth="true" style="0"/>
    <col min="9" max="9" width="15" customWidth="true" style="0"/>
    <col min="10" max="10" width="18" customWidth="true" style="0"/>
    <col min="11" max="11" width="65" customWidth="true" style="0"/>
  </cols>
  <sheetData>
    <row r="1" spans="1:11" customHeight="1" ht="32">
      <c r="A1" s="52" t="s">
        <v>930</v>
      </c>
      <c r="B1" s="55"/>
      <c r="C1" s="55"/>
      <c r="D1" s="55"/>
      <c r="E1" s="55"/>
      <c r="F1" s="55"/>
      <c r="G1" s="55"/>
      <c r="H1" s="55"/>
      <c r="I1" s="55"/>
      <c r="J1" s="55"/>
      <c r="K1" s="55"/>
    </row>
    <row r="2" spans="1:11" customHeight="1" ht="45">
      <c r="A2" s="53" t="s">
        <v>931</v>
      </c>
      <c r="B2" s="53"/>
      <c r="C2" s="53"/>
      <c r="D2" s="53"/>
      <c r="E2" s="53"/>
      <c r="F2" s="53"/>
      <c r="G2" s="53"/>
      <c r="H2" s="53"/>
      <c r="I2" s="53"/>
      <c r="J2" s="53"/>
      <c r="K2" s="53"/>
    </row>
    <row r="3" spans="1:11">
      <c r="A3" s="53"/>
      <c r="B3" s="53"/>
      <c r="C3" s="53"/>
      <c r="D3" s="53"/>
      <c r="E3" s="53"/>
      <c r="F3" s="53"/>
      <c r="G3" s="53"/>
      <c r="H3" s="53"/>
      <c r="I3" s="53"/>
      <c r="J3" s="53"/>
      <c r="K3" s="53"/>
    </row>
    <row r="4" spans="1:11" customHeight="1" ht="32">
      <c r="A4" s="54" t="s">
        <v>476</v>
      </c>
      <c r="B4" s="54" t="s">
        <v>926</v>
      </c>
      <c r="C4" s="54" t="s">
        <v>705</v>
      </c>
      <c r="D4" s="54" t="s">
        <v>478</v>
      </c>
      <c r="E4" s="54" t="s">
        <v>479</v>
      </c>
      <c r="F4" s="54" t="s">
        <v>932</v>
      </c>
      <c r="G4" s="54" t="s">
        <v>933</v>
      </c>
      <c r="H4" s="54" t="s">
        <v>482</v>
      </c>
      <c r="I4" s="54" t="s">
        <v>934</v>
      </c>
      <c r="J4" s="54" t="s">
        <v>127</v>
      </c>
      <c r="K4" s="54" t="s">
        <v>711</v>
      </c>
    </row>
    <row r="5" spans="1:11" customHeight="1" ht="40">
      <c r="A5" s="56" t="s">
        <v>935</v>
      </c>
      <c r="B5" s="56" t="s">
        <v>714</v>
      </c>
      <c r="C5" s="56" t="s">
        <v>360</v>
      </c>
      <c r="D5" s="56" t="s">
        <v>936</v>
      </c>
      <c r="E5" s="56" t="s">
        <v>937</v>
      </c>
      <c r="F5" s="56" t="s">
        <v>469</v>
      </c>
      <c r="G5" s="56" t="s">
        <v>469</v>
      </c>
      <c r="H5" s="56">
        <v>6</v>
      </c>
      <c r="I5" s="56">
        <v>6</v>
      </c>
      <c r="J5" s="56" t="s">
        <v>137</v>
      </c>
      <c r="K5" s="56" t="s">
        <v>719</v>
      </c>
    </row>
    <row r="6" spans="1:11" customHeight="1" ht="40">
      <c r="A6" s="53" t="s">
        <v>938</v>
      </c>
      <c r="B6" s="53" t="s">
        <v>723</v>
      </c>
      <c r="C6" s="53" t="s">
        <v>360</v>
      </c>
      <c r="D6" s="53" t="s">
        <v>939</v>
      </c>
      <c r="E6" s="53" t="s">
        <v>937</v>
      </c>
      <c r="F6" s="53" t="s">
        <v>940</v>
      </c>
      <c r="G6" s="53" t="s">
        <v>940</v>
      </c>
      <c r="H6" s="53">
        <v>4</v>
      </c>
      <c r="I6" s="53">
        <v>4</v>
      </c>
      <c r="J6" s="53" t="s">
        <v>137</v>
      </c>
      <c r="K6" s="53" t="s">
        <v>727</v>
      </c>
    </row>
    <row r="7" spans="1:11" customHeight="1" ht="40">
      <c r="A7" s="56" t="s">
        <v>941</v>
      </c>
      <c r="B7" s="56" t="s">
        <v>729</v>
      </c>
      <c r="C7" s="56" t="s">
        <v>360</v>
      </c>
      <c r="D7" s="56" t="s">
        <v>942</v>
      </c>
      <c r="E7" s="56" t="s">
        <v>937</v>
      </c>
      <c r="F7" s="56" t="s">
        <v>940</v>
      </c>
      <c r="G7" s="56" t="s">
        <v>943</v>
      </c>
      <c r="H7" s="56">
        <v>6</v>
      </c>
      <c r="I7" s="56">
        <v>6</v>
      </c>
      <c r="J7" s="56" t="s">
        <v>137</v>
      </c>
      <c r="K7" s="56" t="s">
        <v>733</v>
      </c>
    </row>
    <row r="8" spans="1:11" customHeight="1" ht="40">
      <c r="A8" s="53" t="s">
        <v>944</v>
      </c>
      <c r="B8" s="53" t="s">
        <v>359</v>
      </c>
      <c r="C8" s="53" t="s">
        <v>360</v>
      </c>
      <c r="D8" s="53" t="s">
        <v>945</v>
      </c>
      <c r="E8" s="53" t="s">
        <v>937</v>
      </c>
      <c r="F8" s="53" t="s">
        <v>943</v>
      </c>
      <c r="G8" s="53" t="s">
        <v>943</v>
      </c>
      <c r="H8" s="53">
        <v>2</v>
      </c>
      <c r="I8" s="53">
        <v>2</v>
      </c>
      <c r="J8" s="53" t="s">
        <v>137</v>
      </c>
      <c r="K8" s="53" t="s">
        <v>738</v>
      </c>
    </row>
    <row r="9" spans="1:11" customHeight="1" ht="40">
      <c r="A9" s="56" t="s">
        <v>946</v>
      </c>
      <c r="B9" s="56" t="s">
        <v>741</v>
      </c>
      <c r="C9" s="56" t="s">
        <v>360</v>
      </c>
      <c r="D9" s="56" t="s">
        <v>947</v>
      </c>
      <c r="E9" s="56" t="s">
        <v>937</v>
      </c>
      <c r="F9" s="56" t="s">
        <v>948</v>
      </c>
      <c r="G9" s="56" t="s">
        <v>948</v>
      </c>
      <c r="H9" s="56">
        <v>4</v>
      </c>
      <c r="I9" s="56">
        <v>4</v>
      </c>
      <c r="J9" s="56" t="s">
        <v>137</v>
      </c>
      <c r="K9" s="56" t="s">
        <v>745</v>
      </c>
    </row>
    <row r="10" spans="1:11" customHeight="1" ht="40">
      <c r="A10" s="53" t="s">
        <v>949</v>
      </c>
      <c r="B10" s="53" t="s">
        <v>747</v>
      </c>
      <c r="C10" s="53" t="s">
        <v>360</v>
      </c>
      <c r="D10" s="53" t="s">
        <v>950</v>
      </c>
      <c r="E10" s="53" t="s">
        <v>937</v>
      </c>
      <c r="F10" s="53" t="s">
        <v>948</v>
      </c>
      <c r="G10" s="53" t="s">
        <v>951</v>
      </c>
      <c r="H10" s="53">
        <v>4</v>
      </c>
      <c r="I10" s="53">
        <v>4</v>
      </c>
      <c r="J10" s="53" t="s">
        <v>137</v>
      </c>
      <c r="K10" s="53" t="s">
        <v>751</v>
      </c>
    </row>
    <row r="11" spans="1:11" customHeight="1" ht="40">
      <c r="A11" s="56" t="s">
        <v>952</v>
      </c>
      <c r="B11" s="56" t="s">
        <v>370</v>
      </c>
      <c r="C11" s="56" t="s">
        <v>348</v>
      </c>
      <c r="D11" s="56" t="s">
        <v>953</v>
      </c>
      <c r="E11" s="56" t="s">
        <v>937</v>
      </c>
      <c r="F11" s="56" t="s">
        <v>951</v>
      </c>
      <c r="G11" s="56" t="s">
        <v>951</v>
      </c>
      <c r="H11" s="56">
        <v>4</v>
      </c>
      <c r="I11" s="56">
        <v>4</v>
      </c>
      <c r="J11" s="56" t="s">
        <v>137</v>
      </c>
      <c r="K11" s="56" t="s">
        <v>819</v>
      </c>
    </row>
    <row r="12" spans="1:11" customHeight="1" ht="40">
      <c r="A12" s="53" t="s">
        <v>954</v>
      </c>
      <c r="B12" s="53" t="s">
        <v>374</v>
      </c>
      <c r="C12" s="53" t="s">
        <v>348</v>
      </c>
      <c r="D12" s="53" t="s">
        <v>955</v>
      </c>
      <c r="E12" s="53" t="s">
        <v>937</v>
      </c>
      <c r="F12" s="53" t="s">
        <v>956</v>
      </c>
      <c r="G12" s="53" t="s">
        <v>956</v>
      </c>
      <c r="H12" s="53">
        <v>4</v>
      </c>
      <c r="I12" s="53">
        <v>4</v>
      </c>
      <c r="J12" s="53" t="s">
        <v>137</v>
      </c>
      <c r="K12" s="53" t="s">
        <v>824</v>
      </c>
    </row>
    <row r="13" spans="1:11" customHeight="1" ht="40">
      <c r="A13" s="56" t="s">
        <v>957</v>
      </c>
      <c r="B13" s="56" t="s">
        <v>377</v>
      </c>
      <c r="C13" s="56" t="s">
        <v>348</v>
      </c>
      <c r="D13" s="56" t="s">
        <v>958</v>
      </c>
      <c r="E13" s="56" t="s">
        <v>937</v>
      </c>
      <c r="F13" s="56" t="s">
        <v>956</v>
      </c>
      <c r="G13" s="56" t="s">
        <v>959</v>
      </c>
      <c r="H13" s="56">
        <v>3</v>
      </c>
      <c r="I13" s="56">
        <v>3</v>
      </c>
      <c r="J13" s="56" t="s">
        <v>137</v>
      </c>
      <c r="K13" s="56" t="s">
        <v>829</v>
      </c>
    </row>
    <row r="14" spans="1:11" customHeight="1" ht="40">
      <c r="A14" s="53" t="s">
        <v>960</v>
      </c>
      <c r="B14" s="53" t="s">
        <v>347</v>
      </c>
      <c r="C14" s="53" t="s">
        <v>348</v>
      </c>
      <c r="D14" s="53" t="s">
        <v>961</v>
      </c>
      <c r="E14" s="53" t="s">
        <v>937</v>
      </c>
      <c r="F14" s="53" t="s">
        <v>959</v>
      </c>
      <c r="G14" s="53" t="s">
        <v>959</v>
      </c>
      <c r="H14" s="53">
        <v>3</v>
      </c>
      <c r="I14" s="53">
        <v>3</v>
      </c>
      <c r="J14" s="53" t="s">
        <v>137</v>
      </c>
      <c r="K14" s="53" t="s">
        <v>834</v>
      </c>
    </row>
    <row r="15" spans="1:11" customHeight="1" ht="40">
      <c r="A15" s="56" t="s">
        <v>962</v>
      </c>
      <c r="B15" s="56" t="s">
        <v>842</v>
      </c>
      <c r="C15" s="56" t="s">
        <v>348</v>
      </c>
      <c r="D15" s="56" t="s">
        <v>963</v>
      </c>
      <c r="E15" s="56" t="s">
        <v>937</v>
      </c>
      <c r="F15" s="56" t="s">
        <v>959</v>
      </c>
      <c r="G15" s="56" t="s">
        <v>964</v>
      </c>
      <c r="H15" s="56">
        <v>3</v>
      </c>
      <c r="I15" s="56">
        <v>3</v>
      </c>
      <c r="J15" s="56" t="s">
        <v>137</v>
      </c>
      <c r="K15" s="56" t="s">
        <v>846</v>
      </c>
    </row>
    <row r="16" spans="1:11" customHeight="1" ht="40">
      <c r="A16" s="53" t="s">
        <v>965</v>
      </c>
      <c r="B16" s="53" t="s">
        <v>103</v>
      </c>
      <c r="C16" s="53" t="s">
        <v>966</v>
      </c>
      <c r="D16" s="53" t="s">
        <v>967</v>
      </c>
      <c r="E16" s="53" t="s">
        <v>937</v>
      </c>
      <c r="F16" s="53" t="s">
        <v>968</v>
      </c>
      <c r="G16" s="53" t="s">
        <v>968</v>
      </c>
      <c r="H16" s="53">
        <v>2</v>
      </c>
      <c r="I16" s="53">
        <v>2</v>
      </c>
      <c r="J16" s="53" t="s">
        <v>137</v>
      </c>
      <c r="K16" s="53" t="s">
        <v>969</v>
      </c>
    </row>
    <row r="17" spans="1:11" customHeight="1" ht="40">
      <c r="A17" s="56" t="s">
        <v>970</v>
      </c>
      <c r="B17" s="56" t="s">
        <v>103</v>
      </c>
      <c r="C17" s="56" t="s">
        <v>966</v>
      </c>
      <c r="D17" s="56" t="s">
        <v>971</v>
      </c>
      <c r="E17" s="56" t="s">
        <v>937</v>
      </c>
      <c r="F17" s="56" t="s">
        <v>470</v>
      </c>
      <c r="G17" s="56" t="s">
        <v>470</v>
      </c>
      <c r="H17" s="56">
        <v>2</v>
      </c>
      <c r="I17" s="56">
        <v>2</v>
      </c>
      <c r="J17" s="56" t="s">
        <v>137</v>
      </c>
      <c r="K17" s="56" t="s">
        <v>969</v>
      </c>
    </row>
  </sheetData>
  <autoFilter ref="A4:K17"/>
  <mergeCells>
    <mergeCell ref="A1:K1"/>
    <mergeCell ref="A2:K2"/>
  </mergeCells>
  <printOptions gridLines="false" gridLinesSet="true"/>
  <pageMargins left="0.7" right="0.7" top="0.75" bottom="0.75" header="0.3" footer="0.3"/>
  <pageSetup paperSize="8" orientation="landscape" scale="100" fitToHeight="0" fitToWidth="1" pageOrder="downThenOver"/>
  <headerFooter differentOddEven="false" differentFirst="false" scaleWithDoc="true" alignWithMargins="true">
    <oddHeader/>
    <oddFooter/>
    <evenHeader/>
    <evenFooter/>
    <firstHeader/>
    <firstFooter/>
  </headerFooter>
  <tableParts count="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pageSetUpPr fitToPage="1"/>
  </sheetPr>
  <dimension ref="A1:K17"/>
  <sheetViews>
    <sheetView tabSelected="0" workbookViewId="0" showGridLines="true" showRowColHeaders="1">
      <pane xSplit="5" ySplit="4" topLeftCell="F5" activePane="bottomRight" state="frozen"/>
      <selection pane="topRight"/>
      <selection pane="bottomLeft"/>
      <selection pane="bottomRight" activeCell="A17" sqref="A17:K17"/>
    </sheetView>
  </sheetViews>
  <sheetFormatPr defaultRowHeight="14.4" outlineLevelRow="0" outlineLevelCol="0"/>
  <cols>
    <col min="1" max="1" width="16" customWidth="true" style="0"/>
    <col min="2" max="2" width="15" customWidth="true" style="0"/>
    <col min="3" max="3" width="22" customWidth="true" style="0"/>
    <col min="4" max="4" width="85" customWidth="true" style="0"/>
    <col min="5" max="5" width="28" customWidth="true" style="0"/>
    <col min="6" max="6" width="17" customWidth="true" style="0"/>
    <col min="7" max="7" width="17" customWidth="true" style="0"/>
    <col min="8" max="8" width="17" customWidth="true" style="0"/>
    <col min="9" max="9" width="15" customWidth="true" style="0"/>
    <col min="10" max="10" width="18" customWidth="true" style="0"/>
    <col min="11" max="11" width="65" customWidth="true" style="0"/>
  </cols>
  <sheetData>
    <row r="1" spans="1:11" customHeight="1" ht="32">
      <c r="A1" s="52" t="s">
        <v>972</v>
      </c>
      <c r="B1" s="55"/>
      <c r="C1" s="55"/>
      <c r="D1" s="55"/>
      <c r="E1" s="55"/>
      <c r="F1" s="55"/>
      <c r="G1" s="55"/>
      <c r="H1" s="55"/>
      <c r="I1" s="55"/>
      <c r="J1" s="55"/>
      <c r="K1" s="55"/>
    </row>
    <row r="2" spans="1:11" customHeight="1" ht="45">
      <c r="A2" s="53" t="s">
        <v>931</v>
      </c>
      <c r="B2" s="53"/>
      <c r="C2" s="53"/>
      <c r="D2" s="53"/>
      <c r="E2" s="53"/>
      <c r="F2" s="53"/>
      <c r="G2" s="53"/>
      <c r="H2" s="53"/>
      <c r="I2" s="53"/>
      <c r="J2" s="53"/>
      <c r="K2" s="53"/>
    </row>
    <row r="3" spans="1:11">
      <c r="A3" s="53"/>
      <c r="B3" s="53"/>
      <c r="C3" s="53"/>
      <c r="D3" s="53"/>
      <c r="E3" s="53"/>
      <c r="F3" s="53"/>
      <c r="G3" s="53"/>
      <c r="H3" s="53"/>
      <c r="I3" s="53"/>
      <c r="J3" s="53"/>
      <c r="K3" s="53"/>
    </row>
    <row r="4" spans="1:11" customHeight="1" ht="32">
      <c r="A4" s="54" t="s">
        <v>476</v>
      </c>
      <c r="B4" s="54" t="s">
        <v>926</v>
      </c>
      <c r="C4" s="54" t="s">
        <v>705</v>
      </c>
      <c r="D4" s="54" t="s">
        <v>478</v>
      </c>
      <c r="E4" s="54" t="s">
        <v>479</v>
      </c>
      <c r="F4" s="54" t="s">
        <v>932</v>
      </c>
      <c r="G4" s="54" t="s">
        <v>933</v>
      </c>
      <c r="H4" s="54" t="s">
        <v>482</v>
      </c>
      <c r="I4" s="54" t="s">
        <v>934</v>
      </c>
      <c r="J4" s="54" t="s">
        <v>127</v>
      </c>
      <c r="K4" s="54" t="s">
        <v>711</v>
      </c>
    </row>
    <row r="5" spans="1:11" customHeight="1" ht="40">
      <c r="A5" s="56" t="s">
        <v>973</v>
      </c>
      <c r="B5" s="56" t="s">
        <v>714</v>
      </c>
      <c r="C5" s="56" t="s">
        <v>360</v>
      </c>
      <c r="D5" s="56" t="s">
        <v>974</v>
      </c>
      <c r="E5" s="56" t="s">
        <v>975</v>
      </c>
      <c r="F5" s="56" t="s">
        <v>469</v>
      </c>
      <c r="G5" s="56" t="s">
        <v>940</v>
      </c>
      <c r="H5" s="56">
        <v>8</v>
      </c>
      <c r="I5" s="56">
        <v>8</v>
      </c>
      <c r="J5" s="56" t="s">
        <v>137</v>
      </c>
      <c r="K5" s="56" t="s">
        <v>719</v>
      </c>
    </row>
    <row r="6" spans="1:11" customHeight="1" ht="40">
      <c r="A6" s="53" t="s">
        <v>976</v>
      </c>
      <c r="B6" s="53" t="s">
        <v>723</v>
      </c>
      <c r="C6" s="53" t="s">
        <v>360</v>
      </c>
      <c r="D6" s="53" t="s">
        <v>977</v>
      </c>
      <c r="E6" s="53" t="s">
        <v>975</v>
      </c>
      <c r="F6" s="53" t="s">
        <v>940</v>
      </c>
      <c r="G6" s="53" t="s">
        <v>940</v>
      </c>
      <c r="H6" s="53">
        <v>4</v>
      </c>
      <c r="I6" s="53">
        <v>4</v>
      </c>
      <c r="J6" s="53" t="s">
        <v>137</v>
      </c>
      <c r="K6" s="53" t="s">
        <v>727</v>
      </c>
    </row>
    <row r="7" spans="1:11" customHeight="1" ht="40">
      <c r="A7" s="56" t="s">
        <v>978</v>
      </c>
      <c r="B7" s="56" t="s">
        <v>729</v>
      </c>
      <c r="C7" s="56" t="s">
        <v>360</v>
      </c>
      <c r="D7" s="56" t="s">
        <v>979</v>
      </c>
      <c r="E7" s="56" t="s">
        <v>975</v>
      </c>
      <c r="F7" s="56" t="s">
        <v>943</v>
      </c>
      <c r="G7" s="56" t="s">
        <v>948</v>
      </c>
      <c r="H7" s="56">
        <v>8</v>
      </c>
      <c r="I7" s="56">
        <v>8</v>
      </c>
      <c r="J7" s="56" t="s">
        <v>137</v>
      </c>
      <c r="K7" s="56" t="s">
        <v>733</v>
      </c>
    </row>
    <row r="8" spans="1:11" customHeight="1" ht="40">
      <c r="A8" s="53" t="s">
        <v>980</v>
      </c>
      <c r="B8" s="53" t="s">
        <v>359</v>
      </c>
      <c r="C8" s="53" t="s">
        <v>360</v>
      </c>
      <c r="D8" s="53" t="s">
        <v>981</v>
      </c>
      <c r="E8" s="53" t="s">
        <v>975</v>
      </c>
      <c r="F8" s="53" t="s">
        <v>948</v>
      </c>
      <c r="G8" s="53" t="s">
        <v>948</v>
      </c>
      <c r="H8" s="53">
        <v>4</v>
      </c>
      <c r="I8" s="53">
        <v>4</v>
      </c>
      <c r="J8" s="53" t="s">
        <v>137</v>
      </c>
      <c r="K8" s="53" t="s">
        <v>738</v>
      </c>
    </row>
    <row r="9" spans="1:11" customHeight="1" ht="40">
      <c r="A9" s="56" t="s">
        <v>982</v>
      </c>
      <c r="B9" s="56" t="s">
        <v>741</v>
      </c>
      <c r="C9" s="56" t="s">
        <v>360</v>
      </c>
      <c r="D9" s="56" t="s">
        <v>983</v>
      </c>
      <c r="E9" s="56" t="s">
        <v>975</v>
      </c>
      <c r="F9" s="56" t="s">
        <v>951</v>
      </c>
      <c r="G9" s="56" t="s">
        <v>956</v>
      </c>
      <c r="H9" s="56">
        <v>8</v>
      </c>
      <c r="I9" s="56">
        <v>8</v>
      </c>
      <c r="J9" s="56" t="s">
        <v>137</v>
      </c>
      <c r="K9" s="56" t="s">
        <v>745</v>
      </c>
    </row>
    <row r="10" spans="1:11" customHeight="1" ht="40">
      <c r="A10" s="53" t="s">
        <v>984</v>
      </c>
      <c r="B10" s="53" t="s">
        <v>747</v>
      </c>
      <c r="C10" s="53" t="s">
        <v>360</v>
      </c>
      <c r="D10" s="53" t="s">
        <v>985</v>
      </c>
      <c r="E10" s="53" t="s">
        <v>975</v>
      </c>
      <c r="F10" s="53" t="s">
        <v>956</v>
      </c>
      <c r="G10" s="53" t="s">
        <v>956</v>
      </c>
      <c r="H10" s="53">
        <v>4</v>
      </c>
      <c r="I10" s="53">
        <v>4</v>
      </c>
      <c r="J10" s="53" t="s">
        <v>137</v>
      </c>
      <c r="K10" s="53" t="s">
        <v>751</v>
      </c>
    </row>
    <row r="11" spans="1:11" customHeight="1" ht="40">
      <c r="A11" s="56" t="s">
        <v>986</v>
      </c>
      <c r="B11" s="56" t="s">
        <v>370</v>
      </c>
      <c r="C11" s="56" t="s">
        <v>348</v>
      </c>
      <c r="D11" s="56" t="s">
        <v>987</v>
      </c>
      <c r="E11" s="56" t="s">
        <v>975</v>
      </c>
      <c r="F11" s="56" t="s">
        <v>959</v>
      </c>
      <c r="G11" s="56" t="s">
        <v>959</v>
      </c>
      <c r="H11" s="56">
        <v>4</v>
      </c>
      <c r="I11" s="56">
        <v>4</v>
      </c>
      <c r="J11" s="56" t="s">
        <v>137</v>
      </c>
      <c r="K11" s="56" t="s">
        <v>819</v>
      </c>
    </row>
    <row r="12" spans="1:11" customHeight="1" ht="40">
      <c r="A12" s="53" t="s">
        <v>988</v>
      </c>
      <c r="B12" s="53" t="s">
        <v>374</v>
      </c>
      <c r="C12" s="53" t="s">
        <v>348</v>
      </c>
      <c r="D12" s="53" t="s">
        <v>989</v>
      </c>
      <c r="E12" s="53" t="s">
        <v>975</v>
      </c>
      <c r="F12" s="53" t="s">
        <v>959</v>
      </c>
      <c r="G12" s="53" t="s">
        <v>964</v>
      </c>
      <c r="H12" s="53">
        <v>4</v>
      </c>
      <c r="I12" s="53">
        <v>4</v>
      </c>
      <c r="J12" s="53" t="s">
        <v>137</v>
      </c>
      <c r="K12" s="53" t="s">
        <v>824</v>
      </c>
    </row>
    <row r="13" spans="1:11" customHeight="1" ht="40">
      <c r="A13" s="56" t="s">
        <v>990</v>
      </c>
      <c r="B13" s="56" t="s">
        <v>377</v>
      </c>
      <c r="C13" s="56" t="s">
        <v>348</v>
      </c>
      <c r="D13" s="56" t="s">
        <v>991</v>
      </c>
      <c r="E13" s="56" t="s">
        <v>975</v>
      </c>
      <c r="F13" s="56" t="s">
        <v>964</v>
      </c>
      <c r="G13" s="56" t="s">
        <v>964</v>
      </c>
      <c r="H13" s="56">
        <v>4</v>
      </c>
      <c r="I13" s="56">
        <v>4</v>
      </c>
      <c r="J13" s="56" t="s">
        <v>137</v>
      </c>
      <c r="K13" s="56" t="s">
        <v>829</v>
      </c>
    </row>
    <row r="14" spans="1:11" customHeight="1" ht="40">
      <c r="A14" s="53" t="s">
        <v>992</v>
      </c>
      <c r="B14" s="53" t="s">
        <v>347</v>
      </c>
      <c r="C14" s="53" t="s">
        <v>348</v>
      </c>
      <c r="D14" s="53" t="s">
        <v>993</v>
      </c>
      <c r="E14" s="53" t="s">
        <v>975</v>
      </c>
      <c r="F14" s="53" t="s">
        <v>968</v>
      </c>
      <c r="G14" s="53" t="s">
        <v>968</v>
      </c>
      <c r="H14" s="53">
        <v>4</v>
      </c>
      <c r="I14" s="53">
        <v>4</v>
      </c>
      <c r="J14" s="53" t="s">
        <v>137</v>
      </c>
      <c r="K14" s="53" t="s">
        <v>834</v>
      </c>
    </row>
    <row r="15" spans="1:11" customHeight="1" ht="40">
      <c r="A15" s="56" t="s">
        <v>994</v>
      </c>
      <c r="B15" s="56" t="s">
        <v>842</v>
      </c>
      <c r="C15" s="56" t="s">
        <v>348</v>
      </c>
      <c r="D15" s="56" t="s">
        <v>995</v>
      </c>
      <c r="E15" s="56" t="s">
        <v>975</v>
      </c>
      <c r="F15" s="56" t="s">
        <v>968</v>
      </c>
      <c r="G15" s="56" t="s">
        <v>470</v>
      </c>
      <c r="H15" s="56">
        <v>4</v>
      </c>
      <c r="I15" s="56">
        <v>4</v>
      </c>
      <c r="J15" s="56" t="s">
        <v>137</v>
      </c>
      <c r="K15" s="56" t="s">
        <v>846</v>
      </c>
    </row>
    <row r="16" spans="1:11" customHeight="1" ht="40">
      <c r="A16" s="53" t="s">
        <v>996</v>
      </c>
      <c r="B16" s="53" t="s">
        <v>103</v>
      </c>
      <c r="C16" s="53" t="s">
        <v>966</v>
      </c>
      <c r="D16" s="53" t="s">
        <v>967</v>
      </c>
      <c r="E16" s="53" t="s">
        <v>975</v>
      </c>
      <c r="F16" s="53" t="s">
        <v>470</v>
      </c>
      <c r="G16" s="53" t="s">
        <v>470</v>
      </c>
      <c r="H16" s="53">
        <v>2</v>
      </c>
      <c r="I16" s="53">
        <v>2</v>
      </c>
      <c r="J16" s="53" t="s">
        <v>137</v>
      </c>
      <c r="K16" s="53" t="s">
        <v>969</v>
      </c>
    </row>
    <row r="17" spans="1:11" customHeight="1" ht="40">
      <c r="A17" s="56" t="s">
        <v>997</v>
      </c>
      <c r="B17" s="56" t="s">
        <v>103</v>
      </c>
      <c r="C17" s="56" t="s">
        <v>966</v>
      </c>
      <c r="D17" s="56" t="s">
        <v>971</v>
      </c>
      <c r="E17" s="56" t="s">
        <v>975</v>
      </c>
      <c r="F17" s="56" t="s">
        <v>470</v>
      </c>
      <c r="G17" s="56" t="s">
        <v>470</v>
      </c>
      <c r="H17" s="56">
        <v>2</v>
      </c>
      <c r="I17" s="56">
        <v>2</v>
      </c>
      <c r="J17" s="56" t="s">
        <v>137</v>
      </c>
      <c r="K17" s="56" t="s">
        <v>969</v>
      </c>
    </row>
  </sheetData>
  <autoFilter ref="A4:K17"/>
  <mergeCells>
    <mergeCell ref="A1:K1"/>
    <mergeCell ref="A2:K2"/>
  </mergeCells>
  <printOptions gridLines="false" gridLinesSet="true"/>
  <pageMargins left="0.7" right="0.7" top="0.75" bottom="0.75" header="0.3" footer="0.3"/>
  <pageSetup paperSize="8" orientation="landscape" scale="100" fitToHeight="0" fitToWidth="1" pageOrder="downThenOver"/>
  <headerFooter differentOddEven="false" differentFirst="false" scaleWithDoc="true" alignWithMargins="true">
    <oddHeader/>
    <oddFooter/>
    <evenHeader/>
    <evenFooter/>
    <firstHeader/>
    <firstFooter/>
  </headerFooter>
  <tableParts count="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pageSetUpPr fitToPage="1"/>
  </sheetPr>
  <dimension ref="A1:E12"/>
  <sheetViews>
    <sheetView tabSelected="0" workbookViewId="0" showGridLines="true" showRowColHeaders="1">
      <pane xSplit="5" ySplit="4" topLeftCell="F5" activePane="bottomRight" state="frozen"/>
      <selection pane="topRight"/>
      <selection pane="bottomLeft"/>
      <selection pane="bottomRight" activeCell="A11" sqref="A11:E11"/>
    </sheetView>
  </sheetViews>
  <sheetFormatPr defaultRowHeight="14.4" outlineLevelRow="0" outlineLevelCol="0"/>
  <cols>
    <col min="1" max="1" width="12" customWidth="true" style="0"/>
    <col min="2" max="2" width="38" customWidth="true" style="0"/>
    <col min="3" max="3" width="110" customWidth="true" style="0"/>
    <col min="4" max="4" width="38" customWidth="true" style="0"/>
    <col min="5" max="5" width="65" customWidth="true" style="0"/>
  </cols>
  <sheetData>
    <row r="1" spans="1:5" customHeight="1" ht="32">
      <c r="A1" s="52" t="s">
        <v>998</v>
      </c>
      <c r="B1" s="55"/>
      <c r="C1" s="55"/>
      <c r="D1" s="55"/>
      <c r="E1" s="55"/>
    </row>
    <row r="2" spans="1:5" customHeight="1" ht="45">
      <c r="A2" s="53" t="s">
        <v>999</v>
      </c>
      <c r="B2" s="53"/>
      <c r="C2" s="53"/>
      <c r="D2" s="53"/>
      <c r="E2" s="53"/>
    </row>
    <row r="3" spans="1:5">
      <c r="A3" s="53"/>
      <c r="B3" s="53"/>
      <c r="C3" s="53"/>
      <c r="D3" s="53"/>
      <c r="E3" s="53"/>
    </row>
    <row r="4" spans="1:5" customHeight="1" ht="32">
      <c r="A4" s="54" t="s">
        <v>117</v>
      </c>
      <c r="B4" s="54" t="s">
        <v>1000</v>
      </c>
      <c r="C4" s="54" t="s">
        <v>1001</v>
      </c>
      <c r="D4" s="54" t="s">
        <v>1002</v>
      </c>
      <c r="E4" s="54" t="s">
        <v>1003</v>
      </c>
    </row>
    <row r="5" spans="1:5" customHeight="1" ht="55">
      <c r="A5" s="56" t="s">
        <v>1004</v>
      </c>
      <c r="B5" s="56" t="s">
        <v>1005</v>
      </c>
      <c r="C5" s="56" t="s">
        <v>1006</v>
      </c>
      <c r="D5" s="56" t="s">
        <v>1007</v>
      </c>
      <c r="E5" s="56" t="s">
        <v>1008</v>
      </c>
    </row>
    <row r="6" spans="1:5" customHeight="1" ht="40">
      <c r="A6" s="53" t="s">
        <v>1009</v>
      </c>
      <c r="B6" s="53" t="s">
        <v>1010</v>
      </c>
      <c r="C6" s="53" t="s">
        <v>1011</v>
      </c>
      <c r="D6" s="53" t="s">
        <v>1012</v>
      </c>
      <c r="E6" s="53" t="s">
        <v>1013</v>
      </c>
    </row>
    <row r="7" spans="1:5" customHeight="1" ht="40">
      <c r="A7" s="56" t="s">
        <v>1014</v>
      </c>
      <c r="B7" s="56" t="s">
        <v>1015</v>
      </c>
      <c r="C7" s="56" t="s">
        <v>1016</v>
      </c>
      <c r="D7" s="56" t="s">
        <v>1017</v>
      </c>
      <c r="E7" s="56" t="s">
        <v>1018</v>
      </c>
    </row>
    <row r="8" spans="1:5" customHeight="1" ht="40">
      <c r="A8" s="53" t="s">
        <v>1019</v>
      </c>
      <c r="B8" s="53" t="s">
        <v>1020</v>
      </c>
      <c r="C8" s="53" t="s">
        <v>1021</v>
      </c>
      <c r="D8" s="53" t="s">
        <v>1022</v>
      </c>
      <c r="E8" s="53" t="s">
        <v>1023</v>
      </c>
    </row>
    <row r="9" spans="1:5" customHeight="1" ht="40">
      <c r="A9" s="56" t="s">
        <v>1024</v>
      </c>
      <c r="B9" s="56" t="s">
        <v>1025</v>
      </c>
      <c r="C9" s="56" t="s">
        <v>1026</v>
      </c>
      <c r="D9" s="56" t="s">
        <v>1027</v>
      </c>
      <c r="E9" s="56" t="s">
        <v>1028</v>
      </c>
    </row>
    <row r="10" spans="1:5" customHeight="1" ht="40">
      <c r="A10" s="53" t="s">
        <v>1029</v>
      </c>
      <c r="B10" s="53" t="s">
        <v>1030</v>
      </c>
      <c r="C10" s="53" t="s">
        <v>1031</v>
      </c>
      <c r="D10" s="53" t="s">
        <v>1032</v>
      </c>
      <c r="E10" s="53" t="s">
        <v>1033</v>
      </c>
    </row>
    <row r="11" spans="1:5" customHeight="1" ht="40">
      <c r="A11" s="56" t="s">
        <v>1034</v>
      </c>
      <c r="B11" s="56" t="s">
        <v>1035</v>
      </c>
      <c r="C11" s="56" t="s">
        <v>1036</v>
      </c>
      <c r="D11" s="56" t="s">
        <v>1037</v>
      </c>
      <c r="E11" s="56" t="s">
        <v>1038</v>
      </c>
    </row>
    <row r="12" spans="1:5" customHeight="1" ht="40">
      <c r="A12" s="53" t="s">
        <v>1039</v>
      </c>
      <c r="B12" s="53" t="s">
        <v>1040</v>
      </c>
      <c r="C12" s="53" t="s">
        <v>1041</v>
      </c>
      <c r="D12" s="53" t="s">
        <v>1042</v>
      </c>
      <c r="E12" s="53" t="s">
        <v>1043</v>
      </c>
    </row>
  </sheetData>
  <autoFilter ref="A4:E12"/>
  <mergeCells>
    <mergeCell ref="A1:E1"/>
    <mergeCell ref="A2:E2"/>
  </mergeCells>
  <printOptions gridLines="false" gridLinesSet="true"/>
  <pageMargins left="0.7" right="0.7" top="0.75" bottom="0.75" header="0.3" footer="0.3"/>
  <pageSetup paperSize="8" orientation="landscape" scale="100" fitToHeight="0" fitToWidth="1" pageOrder="downThenOver"/>
  <headerFooter differentOddEven="false" differentFirst="false" scaleWithDoc="true" alignWithMargins="true">
    <oddHeader/>
    <oddFooter/>
    <evenHeader/>
    <evenFooter/>
    <firstHeader/>
    <firstFooter/>
  </headerFooter>
  <tableParts count="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pageSetUpPr fitToPage="1"/>
  </sheetPr>
  <dimension ref="A1:E13"/>
  <sheetViews>
    <sheetView tabSelected="0" workbookViewId="0" showGridLines="true" showRowColHeaders="1">
      <pane xSplit="5" ySplit="4" topLeftCell="F5" activePane="bottomRight" state="frozen"/>
      <selection pane="topRight"/>
      <selection pane="bottomLeft"/>
      <selection pane="bottomRight" activeCell="A13" sqref="A13:E13"/>
    </sheetView>
  </sheetViews>
  <sheetFormatPr defaultRowHeight="14.4" outlineLevelRow="0" outlineLevelCol="0"/>
  <cols>
    <col min="1" max="1" width="14" customWidth="true" style="0"/>
    <col min="2" max="2" width="25" customWidth="true" style="0"/>
    <col min="3" max="3" width="90" customWidth="true" style="0"/>
    <col min="4" max="4" width="90" customWidth="true" style="0"/>
    <col min="5" max="5" width="22" customWidth="true" style="0"/>
  </cols>
  <sheetData>
    <row r="1" spans="1:5" customHeight="1" ht="32">
      <c r="A1" s="52" t="s">
        <v>1044</v>
      </c>
      <c r="B1" s="55"/>
      <c r="C1" s="55"/>
      <c r="D1" s="55"/>
      <c r="E1" s="55"/>
    </row>
    <row r="2" spans="1:5" customHeight="1" ht="45">
      <c r="A2" s="53" t="s">
        <v>1045</v>
      </c>
      <c r="B2" s="53"/>
      <c r="C2" s="53"/>
      <c r="D2" s="53"/>
      <c r="E2" s="53"/>
    </row>
    <row r="3" spans="1:5">
      <c r="A3" s="53"/>
      <c r="B3" s="53"/>
      <c r="C3" s="53"/>
      <c r="D3" s="53"/>
      <c r="E3" s="53"/>
    </row>
    <row r="4" spans="1:5" customHeight="1" ht="32">
      <c r="A4" s="54" t="s">
        <v>1046</v>
      </c>
      <c r="B4" s="54" t="s">
        <v>926</v>
      </c>
      <c r="C4" s="54" t="s">
        <v>1047</v>
      </c>
      <c r="D4" s="54" t="s">
        <v>1048</v>
      </c>
      <c r="E4" s="54" t="s">
        <v>127</v>
      </c>
    </row>
    <row r="5" spans="1:5" customHeight="1" ht="40">
      <c r="A5" s="56" t="s">
        <v>1049</v>
      </c>
      <c r="B5" s="56" t="s">
        <v>1050</v>
      </c>
      <c r="C5" s="56" t="s">
        <v>1051</v>
      </c>
      <c r="D5" s="56" t="s">
        <v>1052</v>
      </c>
      <c r="E5" s="56" t="s">
        <v>1053</v>
      </c>
    </row>
    <row r="6" spans="1:5" customHeight="1" ht="35">
      <c r="A6" s="53" t="s">
        <v>1054</v>
      </c>
      <c r="B6" s="53" t="s">
        <v>1042</v>
      </c>
      <c r="C6" s="53" t="s">
        <v>1055</v>
      </c>
      <c r="D6" s="53" t="s">
        <v>1056</v>
      </c>
      <c r="E6" s="53" t="s">
        <v>1053</v>
      </c>
    </row>
    <row r="7" spans="1:5" customHeight="1" ht="40">
      <c r="A7" s="56" t="s">
        <v>1057</v>
      </c>
      <c r="B7" s="56" t="s">
        <v>359</v>
      </c>
      <c r="C7" s="56" t="s">
        <v>1058</v>
      </c>
      <c r="D7" s="56" t="s">
        <v>1059</v>
      </c>
      <c r="E7" s="56" t="s">
        <v>1053</v>
      </c>
    </row>
    <row r="8" spans="1:5" customHeight="1" ht="40">
      <c r="A8" s="53" t="s">
        <v>1060</v>
      </c>
      <c r="B8" s="53" t="s">
        <v>1061</v>
      </c>
      <c r="C8" s="53" t="s">
        <v>1062</v>
      </c>
      <c r="D8" s="53" t="s">
        <v>1063</v>
      </c>
      <c r="E8" s="53" t="s">
        <v>1053</v>
      </c>
    </row>
    <row r="9" spans="1:5" customHeight="1" ht="40">
      <c r="A9" s="56" t="s">
        <v>1064</v>
      </c>
      <c r="B9" s="56" t="s">
        <v>1065</v>
      </c>
      <c r="C9" s="56" t="s">
        <v>1066</v>
      </c>
      <c r="D9" s="56" t="s">
        <v>1067</v>
      </c>
      <c r="E9" s="56" t="s">
        <v>1053</v>
      </c>
    </row>
    <row r="10" spans="1:5" customHeight="1" ht="35">
      <c r="A10" s="53" t="s">
        <v>1068</v>
      </c>
      <c r="B10" s="53" t="s">
        <v>741</v>
      </c>
      <c r="C10" s="53" t="s">
        <v>1069</v>
      </c>
      <c r="D10" s="53" t="s">
        <v>1070</v>
      </c>
      <c r="E10" s="53" t="s">
        <v>1053</v>
      </c>
    </row>
    <row r="11" spans="1:5" customHeight="1" ht="40">
      <c r="A11" s="56" t="s">
        <v>1071</v>
      </c>
      <c r="B11" s="56" t="s">
        <v>1072</v>
      </c>
      <c r="C11" s="56" t="s">
        <v>1073</v>
      </c>
      <c r="D11" s="56" t="s">
        <v>1074</v>
      </c>
      <c r="E11" s="56" t="s">
        <v>1053</v>
      </c>
    </row>
    <row r="12" spans="1:5" customHeight="1" ht="35">
      <c r="A12" s="53" t="s">
        <v>1075</v>
      </c>
      <c r="B12" s="53" t="s">
        <v>1076</v>
      </c>
      <c r="C12" s="53" t="s">
        <v>1077</v>
      </c>
      <c r="D12" s="53" t="s">
        <v>1078</v>
      </c>
      <c r="E12" s="53" t="s">
        <v>1053</v>
      </c>
    </row>
    <row r="13" spans="1:5" customHeight="1" ht="35">
      <c r="A13" s="56" t="s">
        <v>1079</v>
      </c>
      <c r="B13" s="56" t="s">
        <v>370</v>
      </c>
      <c r="C13" s="56" t="s">
        <v>1080</v>
      </c>
      <c r="D13" s="56" t="s">
        <v>1081</v>
      </c>
      <c r="E13" s="56" t="s">
        <v>1053</v>
      </c>
    </row>
  </sheetData>
  <autoFilter ref="A4:E13"/>
  <mergeCells>
    <mergeCell ref="A1:E1"/>
    <mergeCell ref="A2:E2"/>
  </mergeCells>
  <printOptions gridLines="false" gridLinesSet="true"/>
  <pageMargins left="0.7" right="0.7" top="0.75" bottom="0.75" header="0.3" footer="0.3"/>
  <pageSetup paperSize="8" orientation="landscape" scale="100" fitToHeight="0"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Epics</vt:lpstr>
      <vt:lpstr>Product Backlog</vt:lpstr>
      <vt:lpstr>Objectif Sprints</vt:lpstr>
      <vt:lpstr>Sprint Backlog du sprint 0</vt:lpstr>
      <vt:lpstr>Sprint Backlog  API du sprint 0</vt:lpstr>
      <vt:lpstr>Sprint Backlog du sprint 1</vt:lpstr>
      <vt:lpstr>Sprint Backlog API du sprint 1</vt:lpstr>
      <vt:lpstr>Sprint Backlog du sprint 2</vt:lpstr>
      <vt:lpstr>Sprint Backlog API du sprint 2</vt:lpstr>
      <vt:lpstr>Sprint Backlog du sprint 3</vt:lpstr>
      <vt:lpstr>Sprint Backlog API du sprint 3</vt:lpstr>
      <vt:lpstr>US Enseignant Etudiant</vt:lpstr>
      <vt:lpstr>Cadrage Sprint 4</vt:lpstr>
      <vt:lpstr>Selection Sprint 4</vt:lpstr>
      <vt:lpstr>Sprint 4 Frontend</vt:lpstr>
      <vt:lpstr>Sprint 4 API</vt:lpstr>
      <vt:lpstr>Decisions et dependances</vt:lpstr>
      <vt:lpstr>Recette Sprint 4</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Utilisateur</cp:lastModifiedBy>
  <dcterms:created xsi:type="dcterms:W3CDTF">2026-08-07T22:24:25+00:00</dcterms:created>
  <dcterms:modified xsi:type="dcterms:W3CDTF">2026-08-27T15:28:53+00:00</dcterms:modified>
  <dc:title/>
  <dc:description/>
  <dc:subject/>
  <cp:keywords/>
  <cp:category/>
</cp:coreProperties>
</file>